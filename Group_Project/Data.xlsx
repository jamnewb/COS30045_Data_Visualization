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8"/>
  <workbookPr/>
  <xr:revisionPtr revIDLastSave="0" documentId="8_{6990BFD7-0549-4C75-A97C-964F9EF817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 l="1"/>
  <c r="E74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F103" i="1"/>
  <c r="F104" i="1"/>
  <c r="F105" i="1"/>
  <c r="F106" i="1"/>
  <c r="F102" i="1"/>
  <c r="E103" i="1"/>
  <c r="E104" i="1"/>
  <c r="E105" i="1"/>
  <c r="E106" i="1"/>
  <c r="E102" i="1"/>
  <c r="F98" i="1"/>
  <c r="F99" i="1"/>
  <c r="F100" i="1"/>
  <c r="F101" i="1"/>
  <c r="F97" i="1"/>
  <c r="E98" i="1"/>
  <c r="E99" i="1"/>
  <c r="E100" i="1"/>
  <c r="E101" i="1"/>
  <c r="E97" i="1"/>
  <c r="F96" i="1"/>
  <c r="F95" i="1"/>
  <c r="F93" i="1"/>
  <c r="F94" i="1"/>
  <c r="F92" i="1"/>
  <c r="E96" i="1"/>
  <c r="E95" i="1"/>
  <c r="E94" i="1"/>
  <c r="E93" i="1"/>
  <c r="E92" i="1"/>
  <c r="F88" i="1"/>
  <c r="F89" i="1"/>
  <c r="F90" i="1"/>
  <c r="F91" i="1"/>
  <c r="F87" i="1"/>
  <c r="E88" i="1"/>
  <c r="E89" i="1"/>
  <c r="E90" i="1"/>
  <c r="E91" i="1"/>
  <c r="E87" i="1"/>
  <c r="F83" i="1"/>
  <c r="F84" i="1"/>
  <c r="F85" i="1"/>
  <c r="F86" i="1"/>
  <c r="F82" i="1"/>
  <c r="E83" i="1"/>
  <c r="E84" i="1"/>
  <c r="E85" i="1"/>
  <c r="E86" i="1"/>
  <c r="E82" i="1"/>
  <c r="I77" i="1"/>
  <c r="I78" i="1"/>
  <c r="I79" i="1"/>
  <c r="I80" i="1"/>
  <c r="I81" i="1"/>
  <c r="H77" i="1"/>
  <c r="H78" i="1"/>
  <c r="H79" i="1"/>
  <c r="H80" i="1"/>
  <c r="H81" i="1"/>
  <c r="G77" i="1"/>
  <c r="G78" i="1"/>
  <c r="G79" i="1"/>
  <c r="G80" i="1"/>
  <c r="G81" i="1"/>
  <c r="F80" i="1"/>
  <c r="F81" i="1"/>
  <c r="F79" i="1"/>
  <c r="F78" i="1"/>
  <c r="F77" i="1"/>
  <c r="E81" i="1"/>
  <c r="E78" i="1"/>
  <c r="E79" i="1"/>
  <c r="E80" i="1"/>
  <c r="E77" i="1"/>
  <c r="I72" i="1"/>
  <c r="I73" i="1"/>
  <c r="I75" i="1"/>
  <c r="I76" i="1"/>
  <c r="H72" i="1"/>
  <c r="H73" i="1"/>
  <c r="H75" i="1"/>
  <c r="H76" i="1"/>
  <c r="G72" i="1"/>
  <c r="G73" i="1"/>
  <c r="G74" i="1"/>
  <c r="H74" i="1" s="1"/>
  <c r="I74" i="1" s="1"/>
  <c r="G75" i="1"/>
  <c r="G76" i="1"/>
  <c r="F76" i="1"/>
  <c r="F75" i="1"/>
  <c r="F73" i="1"/>
  <c r="F74" i="1"/>
  <c r="F72" i="1"/>
  <c r="E73" i="1"/>
  <c r="E75" i="1"/>
  <c r="E76" i="1"/>
  <c r="E72" i="1"/>
  <c r="I67" i="1"/>
  <c r="I68" i="1"/>
  <c r="I69" i="1"/>
  <c r="I70" i="1"/>
  <c r="I71" i="1"/>
  <c r="H67" i="1"/>
  <c r="H68" i="1"/>
  <c r="H69" i="1"/>
  <c r="H70" i="1"/>
  <c r="H71" i="1"/>
  <c r="G67" i="1"/>
  <c r="G68" i="1"/>
  <c r="G69" i="1"/>
  <c r="G70" i="1"/>
  <c r="G71" i="1"/>
  <c r="F71" i="1"/>
  <c r="F70" i="1"/>
  <c r="F68" i="1"/>
  <c r="F69" i="1"/>
  <c r="F67" i="1"/>
  <c r="E70" i="1"/>
  <c r="E71" i="1"/>
  <c r="E69" i="1"/>
  <c r="E68" i="1"/>
  <c r="E67" i="1"/>
  <c r="I62" i="1"/>
  <c r="I63" i="1"/>
  <c r="I64" i="1"/>
  <c r="I65" i="1"/>
  <c r="I66" i="1"/>
  <c r="H62" i="1"/>
  <c r="H63" i="1"/>
  <c r="H64" i="1"/>
  <c r="H65" i="1"/>
  <c r="H66" i="1"/>
  <c r="G62" i="1"/>
  <c r="G63" i="1"/>
  <c r="G64" i="1"/>
  <c r="G65" i="1"/>
  <c r="G66" i="1"/>
  <c r="F63" i="1"/>
  <c r="F64" i="1"/>
  <c r="F65" i="1"/>
  <c r="F66" i="1"/>
  <c r="F62" i="1"/>
  <c r="E63" i="1"/>
  <c r="E64" i="1"/>
  <c r="E65" i="1"/>
  <c r="E66" i="1"/>
  <c r="E62" i="1"/>
  <c r="I58" i="1"/>
  <c r="I59" i="1"/>
  <c r="I60" i="1"/>
  <c r="I61" i="1"/>
  <c r="H58" i="1"/>
  <c r="H59" i="1"/>
  <c r="H60" i="1"/>
  <c r="H61" i="1"/>
  <c r="G58" i="1"/>
  <c r="G59" i="1"/>
  <c r="G60" i="1"/>
  <c r="G61" i="1"/>
  <c r="F59" i="1"/>
  <c r="F58" i="1"/>
  <c r="F60" i="1"/>
  <c r="F61" i="1"/>
  <c r="F57" i="1"/>
  <c r="E61" i="1"/>
  <c r="E60" i="1"/>
  <c r="E59" i="1"/>
  <c r="E58" i="1"/>
  <c r="E57" i="1"/>
  <c r="I52" i="1"/>
  <c r="I53" i="1"/>
  <c r="I54" i="1"/>
  <c r="I55" i="1"/>
  <c r="I56" i="1"/>
  <c r="H52" i="1"/>
  <c r="H53" i="1"/>
  <c r="H54" i="1"/>
  <c r="H55" i="1"/>
  <c r="H56" i="1"/>
  <c r="G52" i="1"/>
  <c r="G53" i="1"/>
  <c r="G54" i="1"/>
  <c r="G55" i="1"/>
  <c r="G56" i="1"/>
  <c r="F56" i="1"/>
  <c r="F55" i="1"/>
  <c r="F54" i="1"/>
  <c r="F53" i="1"/>
  <c r="F52" i="1"/>
  <c r="E52" i="1"/>
  <c r="E56" i="1"/>
  <c r="E55" i="1"/>
  <c r="E54" i="1"/>
  <c r="E53" i="1"/>
  <c r="E51" i="1"/>
  <c r="I47" i="1"/>
  <c r="I48" i="1"/>
  <c r="I49" i="1"/>
  <c r="I50" i="1"/>
  <c r="H48" i="1"/>
  <c r="H49" i="1"/>
  <c r="H50" i="1"/>
  <c r="G51" i="1"/>
  <c r="H51" i="1" s="1"/>
  <c r="I51" i="1" s="1"/>
  <c r="G47" i="1"/>
  <c r="G48" i="1"/>
  <c r="G49" i="1"/>
  <c r="G50" i="1"/>
  <c r="F51" i="1"/>
  <c r="F50" i="1"/>
  <c r="F49" i="1"/>
  <c r="F48" i="1"/>
  <c r="F47" i="1"/>
  <c r="E47" i="1"/>
  <c r="E48" i="1"/>
  <c r="E49" i="1"/>
  <c r="E50" i="1"/>
  <c r="E46" i="1"/>
  <c r="I42" i="1"/>
  <c r="I43" i="1"/>
  <c r="I44" i="1"/>
  <c r="I45" i="1"/>
  <c r="H42" i="1"/>
  <c r="H43" i="1"/>
  <c r="H44" i="1"/>
  <c r="H45" i="1"/>
  <c r="H47" i="1"/>
  <c r="G42" i="1"/>
  <c r="G43" i="1"/>
  <c r="G44" i="1"/>
  <c r="G45" i="1"/>
  <c r="G46" i="1"/>
  <c r="H46" i="1" s="1"/>
  <c r="I46" i="1" s="1"/>
  <c r="F46" i="1"/>
  <c r="F45" i="1"/>
  <c r="F44" i="1"/>
  <c r="F43" i="1"/>
  <c r="F42" i="1"/>
  <c r="E42" i="1"/>
  <c r="E45" i="1"/>
  <c r="E43" i="1"/>
  <c r="E44" i="1"/>
  <c r="E41" i="1"/>
  <c r="I37" i="1"/>
  <c r="I38" i="1"/>
  <c r="I39" i="1"/>
  <c r="I40" i="1"/>
  <c r="H37" i="1"/>
  <c r="H38" i="1"/>
  <c r="H39" i="1"/>
  <c r="H40" i="1"/>
  <c r="G37" i="1"/>
  <c r="G38" i="1"/>
  <c r="G39" i="1"/>
  <c r="G40" i="1"/>
  <c r="G41" i="1"/>
  <c r="H41" i="1" s="1"/>
  <c r="I41" i="1" s="1"/>
  <c r="F40" i="1"/>
  <c r="F41" i="1"/>
  <c r="F39" i="1"/>
  <c r="F38" i="1"/>
  <c r="F37" i="1"/>
  <c r="E38" i="1"/>
  <c r="E39" i="1"/>
  <c r="E40" i="1"/>
  <c r="E37" i="1"/>
  <c r="E33" i="1"/>
  <c r="E34" i="1"/>
  <c r="E35" i="1"/>
  <c r="E36" i="1"/>
  <c r="E32" i="1"/>
  <c r="F36" i="1"/>
  <c r="F35" i="1"/>
  <c r="F33" i="1"/>
  <c r="F34" i="1"/>
  <c r="F32" i="1"/>
  <c r="F31" i="1"/>
  <c r="F30" i="1"/>
  <c r="F28" i="1"/>
  <c r="F29" i="1"/>
  <c r="F27" i="1"/>
  <c r="E31" i="1"/>
  <c r="E30" i="1"/>
  <c r="E29" i="1"/>
  <c r="E28" i="1"/>
  <c r="E27" i="1"/>
  <c r="E26" i="1"/>
  <c r="E25" i="1"/>
  <c r="E24" i="1"/>
  <c r="E23" i="1"/>
  <c r="E22" i="1"/>
  <c r="F26" i="1"/>
  <c r="F25" i="1"/>
  <c r="F24" i="1"/>
  <c r="F23" i="1"/>
  <c r="F22" i="1"/>
  <c r="F21" i="1"/>
  <c r="F20" i="1"/>
  <c r="F18" i="1"/>
  <c r="F19" i="1"/>
  <c r="F17" i="1"/>
  <c r="E18" i="1"/>
  <c r="E19" i="1"/>
  <c r="E20" i="1"/>
  <c r="E21" i="1"/>
  <c r="E17" i="1"/>
  <c r="E13" i="1"/>
  <c r="E14" i="1"/>
  <c r="E15" i="1"/>
  <c r="E16" i="1"/>
  <c r="E12" i="1"/>
  <c r="F12" i="1"/>
  <c r="F15" i="1"/>
  <c r="F16" i="1"/>
  <c r="F14" i="1"/>
  <c r="F13" i="1"/>
  <c r="I3" i="1"/>
  <c r="I4" i="1"/>
  <c r="I5" i="1"/>
  <c r="I6" i="1"/>
  <c r="I2" i="1"/>
  <c r="E9" i="1"/>
  <c r="E10" i="1"/>
  <c r="E11" i="1"/>
  <c r="F11" i="1"/>
  <c r="F10" i="1"/>
  <c r="F9" i="1"/>
  <c r="F8" i="1"/>
  <c r="F7" i="1"/>
  <c r="E8" i="1"/>
  <c r="E7" i="1"/>
  <c r="G6" i="1"/>
  <c r="G5" i="1"/>
  <c r="G4" i="1"/>
  <c r="G3" i="1"/>
  <c r="G2" i="1"/>
  <c r="G57" i="1" l="1"/>
  <c r="H57" i="1" s="1"/>
  <c r="I57" i="1" s="1"/>
  <c r="G12" i="1"/>
  <c r="H12" i="1" s="1"/>
  <c r="I12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7" i="1"/>
  <c r="H17" i="1" s="1"/>
  <c r="I17" i="1" s="1"/>
  <c r="G21" i="1"/>
  <c r="H21" i="1" s="1"/>
  <c r="I21" i="1" s="1"/>
  <c r="G20" i="1"/>
  <c r="H20" i="1" s="1"/>
  <c r="I20" i="1" s="1"/>
  <c r="G19" i="1"/>
  <c r="H19" i="1" s="1"/>
  <c r="I19" i="1" s="1"/>
  <c r="G18" i="1"/>
  <c r="H18" i="1" s="1"/>
  <c r="I18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6" i="1"/>
  <c r="H36" i="1" s="1"/>
  <c r="I36" i="1" s="1"/>
  <c r="G35" i="1"/>
  <c r="H35" i="1" s="1"/>
  <c r="I35" i="1" s="1"/>
  <c r="G34" i="1"/>
  <c r="H34" i="1" s="1"/>
  <c r="I34" i="1" s="1"/>
  <c r="G33" i="1"/>
  <c r="H33" i="1" s="1"/>
  <c r="I33" i="1" s="1"/>
  <c r="G7" i="1"/>
  <c r="H7" i="1" s="1"/>
  <c r="I7" i="1" s="1"/>
  <c r="G8" i="1"/>
  <c r="H8" i="1" s="1"/>
  <c r="I8" i="1" s="1"/>
  <c r="G11" i="1"/>
  <c r="H11" i="1" s="1"/>
  <c r="I11" i="1" s="1"/>
  <c r="G10" i="1"/>
  <c r="H10" i="1" s="1"/>
  <c r="I10" i="1" s="1"/>
  <c r="G9" i="1"/>
  <c r="H9" i="1" s="1"/>
  <c r="I9" i="1" s="1"/>
</calcChain>
</file>

<file path=xl/sharedStrings.xml><?xml version="1.0" encoding="utf-8"?>
<sst xmlns="http://schemas.openxmlformats.org/spreadsheetml/2006/main" count="114" uniqueCount="30">
  <si>
    <t>Country</t>
  </si>
  <si>
    <t>Year</t>
  </si>
  <si>
    <t>Population</t>
  </si>
  <si>
    <t>Life Expectancy</t>
  </si>
  <si>
    <t>Physicians</t>
  </si>
  <si>
    <t>Nurses</t>
  </si>
  <si>
    <t>Other</t>
  </si>
  <si>
    <t>Healthcare Workers</t>
  </si>
  <si>
    <t>Total Healthcare Workers per 1000</t>
  </si>
  <si>
    <t>Australia</t>
  </si>
  <si>
    <t>Bangladesh</t>
  </si>
  <si>
    <t>Brunei</t>
  </si>
  <si>
    <t>Cambodia</t>
  </si>
  <si>
    <t>China</t>
  </si>
  <si>
    <t>East Timor</t>
  </si>
  <si>
    <t>Fiji</t>
  </si>
  <si>
    <t>India</t>
  </si>
  <si>
    <t>Indonesia</t>
  </si>
  <si>
    <t>Laos</t>
  </si>
  <si>
    <t>Malaysia</t>
  </si>
  <si>
    <t>Myanmar</t>
  </si>
  <si>
    <t>New Caledonia</t>
  </si>
  <si>
    <t>New Zealand</t>
  </si>
  <si>
    <t>Papua New Guinea</t>
  </si>
  <si>
    <t>philippines</t>
  </si>
  <si>
    <t>Solomon Islands</t>
  </si>
  <si>
    <t>Taiwan</t>
  </si>
  <si>
    <t>Thailand</t>
  </si>
  <si>
    <t>Vanuatu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</si>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</sst>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rgb="FF000000"/>
      </right>
      <top/>
      <bottom style="medium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3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0" xfId="0" applyBorder="1"/>
    <xf numFmtId="0" fontId="1" fillId="0" borderId="0" xfId="0" applyFont="1"/>
    <xf numFmtId="3" fontId="1" fillId="0" borderId="1" xfId="0" applyNumberFormat="1" applyFont="1" applyBorder="1"/>
    <xf numFmtId="3" fontId="1" fillId="0" borderId="4" xfId="0" applyNumberFormat="1" applyFont="1" applyBorder="1"/>
    <xf numFmtId="0" fontId="2" fillId="0" borderId="9" xfId="0" applyFont="1" applyBorder="1"/>
    <xf numFmtId="3" fontId="1" fillId="0" borderId="0" xfId="0" applyNumberFormat="1" applyFont="1"/>
    <xf numFmtId="0" fontId="1" fillId="0" borderId="10" xfId="0" applyFont="1" applyBorder="1"/>
    <xf numFmtId="0" fontId="1" fillId="0" borderId="13" xfId="0" applyFont="1" applyBorder="1"/>
    <xf numFmtId="3" fontId="1" fillId="0" borderId="11" xfId="0" applyNumberFormat="1" applyFont="1" applyBorder="1"/>
    <xf numFmtId="0" fontId="1" fillId="0" borderId="12" xfId="0" applyFont="1" applyBorder="1"/>
    <xf numFmtId="0" fontId="2" fillId="0" borderId="7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C102" workbookViewId="0">
      <selection activeCell="J108" sqref="J108"/>
    </sheetView>
  </sheetViews>
  <sheetFormatPr defaultRowHeight="15"/>
  <cols>
    <col min="1" max="1" width="36.5703125" customWidth="1"/>
    <col min="2" max="2" width="12.28515625" customWidth="1"/>
    <col min="3" max="3" width="24.28515625" customWidth="1"/>
    <col min="4" max="4" width="12.7109375" customWidth="1"/>
    <col min="5" max="5" width="17.42578125" customWidth="1"/>
    <col min="6" max="6" width="18.42578125" customWidth="1"/>
    <col min="7" max="7" width="24.140625" customWidth="1"/>
    <col min="8" max="8" width="21.140625" customWidth="1"/>
    <col min="9" max="9" width="8.7109375" customWidth="1"/>
  </cols>
  <sheetData>
    <row r="1" spans="1:9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</row>
    <row r="2" spans="1:9" ht="30" customHeight="1">
      <c r="A2" s="3" t="s">
        <v>9</v>
      </c>
      <c r="B2" s="4">
        <v>2016</v>
      </c>
      <c r="C2" s="4">
        <v>23401892</v>
      </c>
      <c r="D2" s="5">
        <v>82.4</v>
      </c>
      <c r="E2" s="5">
        <v>96853</v>
      </c>
      <c r="F2" s="5">
        <v>277363</v>
      </c>
      <c r="G2" s="5">
        <f>H2-(E2+F2)</f>
        <v>128344</v>
      </c>
      <c r="H2" s="5">
        <v>502560</v>
      </c>
      <c r="I2" s="5">
        <f>ROUND((H2/C2)*1000,2)</f>
        <v>21.48</v>
      </c>
    </row>
    <row r="3" spans="1:9" ht="30" customHeight="1">
      <c r="A3" s="2" t="s">
        <v>9</v>
      </c>
      <c r="B3" s="1">
        <v>2017</v>
      </c>
      <c r="C3" s="1">
        <v>24598900</v>
      </c>
      <c r="D3" s="1">
        <v>82.5</v>
      </c>
      <c r="E3" s="1">
        <v>100966</v>
      </c>
      <c r="F3" s="1">
        <v>284119</v>
      </c>
      <c r="G3" s="1">
        <f>H3-(E3+F3)</f>
        <v>133113</v>
      </c>
      <c r="H3" s="1">
        <v>518198</v>
      </c>
      <c r="I3" s="5">
        <f t="shared" ref="I3:I67" si="0">ROUND((H3/C3)*1000,2)</f>
        <v>21.07</v>
      </c>
    </row>
    <row r="4" spans="1:9" ht="30" customHeight="1">
      <c r="A4" s="2" t="s">
        <v>9</v>
      </c>
      <c r="B4" s="1">
        <v>2018</v>
      </c>
      <c r="C4" s="1">
        <v>25180200</v>
      </c>
      <c r="D4" s="1">
        <v>82.7</v>
      </c>
      <c r="E4" s="1">
        <v>103723</v>
      </c>
      <c r="F4" s="1">
        <v>293708</v>
      </c>
      <c r="G4" s="1">
        <f>H4-(E4+F4)</f>
        <v>138960</v>
      </c>
      <c r="H4" s="1">
        <v>536391</v>
      </c>
      <c r="I4" s="5">
        <f t="shared" si="0"/>
        <v>21.3</v>
      </c>
    </row>
    <row r="5" spans="1:9" ht="30" customHeight="1">
      <c r="A5" s="8" t="s">
        <v>9</v>
      </c>
      <c r="B5" s="6">
        <v>2019</v>
      </c>
      <c r="C5" s="6">
        <v>25522169</v>
      </c>
      <c r="D5" s="6">
        <v>82.9</v>
      </c>
      <c r="E5" s="6">
        <v>106461</v>
      </c>
      <c r="F5" s="6">
        <v>303718</v>
      </c>
      <c r="G5" s="6">
        <f>H5-(E5+F5)</f>
        <v>164639</v>
      </c>
      <c r="H5" s="6">
        <v>574818</v>
      </c>
      <c r="I5" s="5">
        <f t="shared" si="0"/>
        <v>22.52</v>
      </c>
    </row>
    <row r="6" spans="1:9" ht="30" customHeight="1">
      <c r="A6" s="9" t="s">
        <v>9</v>
      </c>
      <c r="B6" s="7">
        <v>2020</v>
      </c>
      <c r="C6" s="7">
        <v>25687041</v>
      </c>
      <c r="D6" s="7">
        <v>83.2</v>
      </c>
      <c r="E6" s="7">
        <v>107775</v>
      </c>
      <c r="F6" s="7">
        <v>305849</v>
      </c>
      <c r="G6" s="7">
        <f>H6-(E6+F6)</f>
        <v>172000</v>
      </c>
      <c r="H6" s="7">
        <v>585624</v>
      </c>
      <c r="I6" s="14">
        <f t="shared" si="0"/>
        <v>22.8</v>
      </c>
    </row>
    <row r="7" spans="1:9" ht="30" customHeight="1">
      <c r="A7" s="3" t="s">
        <v>10</v>
      </c>
      <c r="B7" s="5">
        <v>2016</v>
      </c>
      <c r="C7" s="12">
        <v>159784568</v>
      </c>
      <c r="D7" s="18">
        <v>71.61</v>
      </c>
      <c r="E7" s="5">
        <f>ROUND((0.5/1000)*(C7),0)</f>
        <v>79892</v>
      </c>
      <c r="F7" s="5">
        <f>ROUND((0.3/1000)*(C7),0)</f>
        <v>47935</v>
      </c>
      <c r="G7" s="5">
        <f>ROUND((E7+F7)*0.35,0)</f>
        <v>44739</v>
      </c>
      <c r="H7" s="5">
        <f>E7+F7+G7</f>
        <v>172566</v>
      </c>
      <c r="I7" s="5">
        <f t="shared" si="0"/>
        <v>1.08</v>
      </c>
    </row>
    <row r="8" spans="1:9" ht="30" customHeight="1">
      <c r="A8" s="2" t="s">
        <v>10</v>
      </c>
      <c r="B8" s="10">
        <v>2017</v>
      </c>
      <c r="C8" s="19">
        <v>161793964</v>
      </c>
      <c r="D8" s="1">
        <v>71.88</v>
      </c>
      <c r="E8" s="5">
        <f t="shared" ref="E8:E11" si="1">ROUND((0.5/1000)*(C8),0)</f>
        <v>80897</v>
      </c>
      <c r="F8" s="5">
        <f t="shared" ref="F8:F11" si="2">ROUND((0.3/1000)*(C8),0)</f>
        <v>48538</v>
      </c>
      <c r="G8" s="5">
        <f t="shared" ref="G8:G72" si="3">ROUND((E8+F8)*0.35,0)</f>
        <v>45302</v>
      </c>
      <c r="H8" s="5">
        <f t="shared" ref="H8:H72" si="4">E8+F8+G8</f>
        <v>174737</v>
      </c>
      <c r="I8" s="5">
        <f t="shared" si="0"/>
        <v>1.08</v>
      </c>
    </row>
    <row r="9" spans="1:9" ht="30" customHeight="1">
      <c r="A9" s="2" t="s">
        <v>10</v>
      </c>
      <c r="B9" s="11">
        <v>2018</v>
      </c>
      <c r="C9" s="19">
        <v>163683958</v>
      </c>
      <c r="D9" s="1">
        <v>72.150000000000006</v>
      </c>
      <c r="E9" s="5">
        <f>ROUND((0.6/1000)*(C9),0)</f>
        <v>98210</v>
      </c>
      <c r="F9" s="5">
        <f>ROUND((0.4/1000)*(C9),0)</f>
        <v>65474</v>
      </c>
      <c r="G9" s="5">
        <f t="shared" si="3"/>
        <v>57289</v>
      </c>
      <c r="H9" s="5">
        <f t="shared" si="4"/>
        <v>220973</v>
      </c>
      <c r="I9" s="5">
        <f t="shared" si="0"/>
        <v>1.35</v>
      </c>
    </row>
    <row r="10" spans="1:9" ht="30" customHeight="1">
      <c r="A10" s="2" t="s">
        <v>10</v>
      </c>
      <c r="B10" s="10">
        <v>2019</v>
      </c>
      <c r="C10" s="19">
        <v>165516222</v>
      </c>
      <c r="D10" s="1">
        <v>72.430000000000007</v>
      </c>
      <c r="E10" s="5">
        <f>ROUND((0.6/1000)*(C10),0)</f>
        <v>99310</v>
      </c>
      <c r="F10" s="5">
        <f>ROUND((0.4/1000)*(C10),0)</f>
        <v>66206</v>
      </c>
      <c r="G10" s="5">
        <f t="shared" si="3"/>
        <v>57931</v>
      </c>
      <c r="H10" s="5">
        <f t="shared" si="4"/>
        <v>223447</v>
      </c>
      <c r="I10" s="5">
        <f t="shared" si="0"/>
        <v>1.35</v>
      </c>
    </row>
    <row r="11" spans="1:9" ht="30" customHeight="1">
      <c r="A11" s="9" t="s">
        <v>10</v>
      </c>
      <c r="B11" s="13">
        <v>2020</v>
      </c>
      <c r="C11" s="20">
        <v>167420951</v>
      </c>
      <c r="D11" s="7">
        <v>72.72</v>
      </c>
      <c r="E11" s="14">
        <f>ROUND((0.7/1000)*(C11),0)</f>
        <v>117195</v>
      </c>
      <c r="F11" s="14">
        <f>ROUND((0.5/1000)*(C11),0)</f>
        <v>83710</v>
      </c>
      <c r="G11" s="14">
        <f t="shared" si="3"/>
        <v>70317</v>
      </c>
      <c r="H11" s="14">
        <f t="shared" si="4"/>
        <v>271222</v>
      </c>
      <c r="I11" s="14">
        <f t="shared" si="0"/>
        <v>1.62</v>
      </c>
    </row>
    <row r="12" spans="1:9" ht="30" customHeight="1">
      <c r="A12" s="3" t="s">
        <v>11</v>
      </c>
      <c r="B12" s="11">
        <v>2016</v>
      </c>
      <c r="C12" s="5">
        <v>425994</v>
      </c>
      <c r="D12" s="5">
        <v>74.73</v>
      </c>
      <c r="E12" s="5">
        <f>ROUND((1.2/1000)*C12,0)</f>
        <v>511</v>
      </c>
      <c r="F12" s="5">
        <f>ROUND((6.4/1000)*C12,0)</f>
        <v>2726</v>
      </c>
      <c r="G12" s="5">
        <f t="shared" si="3"/>
        <v>1133</v>
      </c>
      <c r="H12" s="5">
        <f t="shared" si="4"/>
        <v>4370</v>
      </c>
      <c r="I12" s="5">
        <f t="shared" si="0"/>
        <v>10.26</v>
      </c>
    </row>
    <row r="13" spans="1:9" ht="30" customHeight="1">
      <c r="A13" s="2" t="s">
        <v>11</v>
      </c>
      <c r="B13" s="10">
        <v>2017</v>
      </c>
      <c r="C13" s="1">
        <v>430276</v>
      </c>
      <c r="D13" s="1">
        <v>74.72</v>
      </c>
      <c r="E13" s="1">
        <f t="shared" ref="E13:E17" si="5">ROUND((1.2/1000)*C13,0)</f>
        <v>516</v>
      </c>
      <c r="F13" s="1">
        <f>ROUND((6/1000)*C13,0)</f>
        <v>2582</v>
      </c>
      <c r="G13" s="1">
        <f t="shared" si="3"/>
        <v>1084</v>
      </c>
      <c r="H13" s="1">
        <f t="shared" si="4"/>
        <v>4182</v>
      </c>
      <c r="I13" s="1">
        <f t="shared" si="0"/>
        <v>9.7200000000000006</v>
      </c>
    </row>
    <row r="14" spans="1:9" ht="30" customHeight="1">
      <c r="A14" s="2" t="s">
        <v>11</v>
      </c>
      <c r="B14" s="11">
        <v>2018</v>
      </c>
      <c r="C14" s="1">
        <v>434272</v>
      </c>
      <c r="D14" s="1">
        <v>74.709999999999994</v>
      </c>
      <c r="E14" s="1">
        <f t="shared" si="5"/>
        <v>521</v>
      </c>
      <c r="F14" s="1">
        <f>ROUND((5.8/1000)*C14,0)</f>
        <v>2519</v>
      </c>
      <c r="G14" s="1">
        <f t="shared" si="3"/>
        <v>1064</v>
      </c>
      <c r="H14" s="1">
        <f t="shared" si="4"/>
        <v>4104</v>
      </c>
      <c r="I14" s="1">
        <f t="shared" si="0"/>
        <v>9.4499999999999993</v>
      </c>
    </row>
    <row r="15" spans="1:9" ht="30" customHeight="1">
      <c r="A15" s="2" t="s">
        <v>11</v>
      </c>
      <c r="B15" s="10">
        <v>2019</v>
      </c>
      <c r="C15" s="1">
        <v>438048</v>
      </c>
      <c r="D15" s="1">
        <v>74.75</v>
      </c>
      <c r="E15" s="1">
        <f t="shared" si="5"/>
        <v>526</v>
      </c>
      <c r="F15" s="1">
        <f t="shared" ref="F15:F17" si="6">ROUND((5.8/1000)*C15,0)</f>
        <v>2541</v>
      </c>
      <c r="G15" s="1">
        <f t="shared" si="3"/>
        <v>1073</v>
      </c>
      <c r="H15" s="1">
        <f t="shared" si="4"/>
        <v>4140</v>
      </c>
      <c r="I15" s="1">
        <f t="shared" si="0"/>
        <v>9.4499999999999993</v>
      </c>
    </row>
    <row r="16" spans="1:9" ht="30" customHeight="1">
      <c r="A16" s="9" t="s">
        <v>11</v>
      </c>
      <c r="B16" s="13">
        <v>2020</v>
      </c>
      <c r="C16" s="7">
        <v>441725</v>
      </c>
      <c r="D16" s="7">
        <v>74.8</v>
      </c>
      <c r="E16" s="7">
        <f t="shared" si="5"/>
        <v>530</v>
      </c>
      <c r="F16" s="7">
        <f t="shared" si="6"/>
        <v>2562</v>
      </c>
      <c r="G16" s="7">
        <f t="shared" si="3"/>
        <v>1082</v>
      </c>
      <c r="H16" s="7">
        <f t="shared" si="4"/>
        <v>4174</v>
      </c>
      <c r="I16" s="7">
        <f t="shared" si="0"/>
        <v>9.4499999999999993</v>
      </c>
    </row>
    <row r="17" spans="1:9" ht="30" customHeight="1">
      <c r="A17" s="3" t="s">
        <v>12</v>
      </c>
      <c r="B17" s="5">
        <v>2016</v>
      </c>
      <c r="C17" s="5">
        <v>15624584</v>
      </c>
      <c r="D17" s="5">
        <v>68.709999999999994</v>
      </c>
      <c r="E17" s="5">
        <f>ROUND((0.2/1000)*C17,0)</f>
        <v>3125</v>
      </c>
      <c r="F17" s="5">
        <f>ROUND((0.7/1000)*C17,0)</f>
        <v>10937</v>
      </c>
      <c r="G17" s="5">
        <f t="shared" si="3"/>
        <v>4922</v>
      </c>
      <c r="H17" s="5">
        <f t="shared" si="4"/>
        <v>18984</v>
      </c>
      <c r="I17" s="5">
        <f t="shared" si="0"/>
        <v>1.22</v>
      </c>
    </row>
    <row r="18" spans="1:9" ht="30" customHeight="1">
      <c r="A18" s="3" t="s">
        <v>12</v>
      </c>
      <c r="B18" s="1">
        <v>2017</v>
      </c>
      <c r="C18" s="1">
        <v>15830689</v>
      </c>
      <c r="D18" s="1">
        <v>69.069999999999993</v>
      </c>
      <c r="E18" s="1">
        <f t="shared" ref="E18:E22" si="7">ROUND((0.2/1000)*C18,0)</f>
        <v>3166</v>
      </c>
      <c r="F18" s="1">
        <f t="shared" ref="F18:F21" si="8">ROUND((0.7/1000)*C18,0)</f>
        <v>11081</v>
      </c>
      <c r="G18" s="1">
        <f t="shared" si="3"/>
        <v>4986</v>
      </c>
      <c r="H18" s="1">
        <f t="shared" si="4"/>
        <v>19233</v>
      </c>
      <c r="I18" s="1">
        <f t="shared" si="0"/>
        <v>1.21</v>
      </c>
    </row>
    <row r="19" spans="1:9" ht="30" customHeight="1">
      <c r="A19" s="3" t="s">
        <v>12</v>
      </c>
      <c r="B19" s="5">
        <v>2018</v>
      </c>
      <c r="C19" s="1">
        <v>16025238</v>
      </c>
      <c r="D19" s="1">
        <v>69.44</v>
      </c>
      <c r="E19" s="1">
        <f t="shared" si="7"/>
        <v>3205</v>
      </c>
      <c r="F19" s="1">
        <f t="shared" si="8"/>
        <v>11218</v>
      </c>
      <c r="G19" s="1">
        <f t="shared" si="3"/>
        <v>5048</v>
      </c>
      <c r="H19" s="1">
        <f t="shared" si="4"/>
        <v>19471</v>
      </c>
      <c r="I19" s="1">
        <f t="shared" si="0"/>
        <v>1.22</v>
      </c>
    </row>
    <row r="20" spans="1:9" ht="30" customHeight="1">
      <c r="A20" s="3" t="s">
        <v>12</v>
      </c>
      <c r="B20" s="1">
        <v>2019</v>
      </c>
      <c r="C20" s="1">
        <v>16207746</v>
      </c>
      <c r="D20" s="1">
        <v>69.66</v>
      </c>
      <c r="E20" s="1">
        <f t="shared" si="7"/>
        <v>3242</v>
      </c>
      <c r="F20" s="1">
        <f>ROUND((1/1000)*C20,0)</f>
        <v>16208</v>
      </c>
      <c r="G20" s="1">
        <f t="shared" si="3"/>
        <v>6808</v>
      </c>
      <c r="H20" s="1">
        <f t="shared" si="4"/>
        <v>26258</v>
      </c>
      <c r="I20" s="1">
        <f t="shared" si="0"/>
        <v>1.62</v>
      </c>
    </row>
    <row r="21" spans="1:9" ht="30" customHeight="1">
      <c r="A21" s="21" t="s">
        <v>12</v>
      </c>
      <c r="B21" s="14">
        <v>2020</v>
      </c>
      <c r="C21" s="7">
        <v>16396860</v>
      </c>
      <c r="D21" s="7">
        <v>69.88</v>
      </c>
      <c r="E21" s="7">
        <f t="shared" si="7"/>
        <v>3279</v>
      </c>
      <c r="F21" s="7">
        <f>ROUND((1/1000)*C21,0)</f>
        <v>16397</v>
      </c>
      <c r="G21" s="7">
        <f t="shared" si="3"/>
        <v>6887</v>
      </c>
      <c r="H21" s="7">
        <f t="shared" si="4"/>
        <v>26563</v>
      </c>
      <c r="I21" s="7">
        <f t="shared" si="0"/>
        <v>1.62</v>
      </c>
    </row>
    <row r="22" spans="1:9" ht="30" customHeight="1">
      <c r="A22" s="3" t="s">
        <v>13</v>
      </c>
      <c r="B22" s="5">
        <v>2016</v>
      </c>
      <c r="C22" s="5">
        <v>1392320000</v>
      </c>
      <c r="D22" s="5">
        <v>74.400000000000006</v>
      </c>
      <c r="E22" s="5">
        <f>ROUND((1.9/1000)*C22,0)</f>
        <v>2645408</v>
      </c>
      <c r="F22" s="5">
        <f>ROUND((2.5/1000)*C22,0)</f>
        <v>3480800</v>
      </c>
      <c r="G22" s="5">
        <f t="shared" si="3"/>
        <v>2144173</v>
      </c>
      <c r="H22" s="5">
        <f t="shared" si="4"/>
        <v>8270381</v>
      </c>
      <c r="I22" s="5">
        <f t="shared" si="0"/>
        <v>5.94</v>
      </c>
    </row>
    <row r="23" spans="1:9" ht="30" customHeight="1">
      <c r="A23" s="3" t="s">
        <v>13</v>
      </c>
      <c r="B23" s="1">
        <v>2017</v>
      </c>
      <c r="C23" s="1">
        <v>1400110000</v>
      </c>
      <c r="D23" s="1">
        <v>74.599999999999994</v>
      </c>
      <c r="E23" s="1">
        <f>ROUND((2/1000)*C23,0)</f>
        <v>2800220</v>
      </c>
      <c r="F23" s="1">
        <f>ROUND((2.7/1000)*C23,0)</f>
        <v>3780297</v>
      </c>
      <c r="G23" s="1">
        <f t="shared" si="3"/>
        <v>2303181</v>
      </c>
      <c r="H23" s="1">
        <f t="shared" si="4"/>
        <v>8883698</v>
      </c>
      <c r="I23" s="1">
        <f t="shared" si="0"/>
        <v>6.35</v>
      </c>
    </row>
    <row r="24" spans="1:9" ht="30" customHeight="1">
      <c r="A24" s="3" t="s">
        <v>13</v>
      </c>
      <c r="B24" s="5">
        <v>2018</v>
      </c>
      <c r="C24" s="1">
        <v>1405410000</v>
      </c>
      <c r="D24" s="1">
        <v>74.400000000000006</v>
      </c>
      <c r="E24" s="1">
        <f>ROUND((2.1/1000)*C24,0)</f>
        <v>2951361</v>
      </c>
      <c r="F24" s="1">
        <f>ROUND((2.9/1000)*C24,0)</f>
        <v>4075689</v>
      </c>
      <c r="G24" s="1">
        <f t="shared" si="3"/>
        <v>2459468</v>
      </c>
      <c r="H24" s="1">
        <f t="shared" si="4"/>
        <v>9486518</v>
      </c>
      <c r="I24" s="1">
        <f t="shared" si="0"/>
        <v>6.75</v>
      </c>
    </row>
    <row r="25" spans="1:9" ht="30" customHeight="1">
      <c r="A25" s="3" t="s">
        <v>13</v>
      </c>
      <c r="B25" s="1">
        <v>2019</v>
      </c>
      <c r="C25" s="1">
        <v>1410080000</v>
      </c>
      <c r="D25" s="1">
        <v>75</v>
      </c>
      <c r="E25" s="1">
        <f>ROUND((2.3/1000)*C25,0)</f>
        <v>3243184</v>
      </c>
      <c r="F25" s="1">
        <f>ROUND((3.1/1000)*C25,0)</f>
        <v>4371248</v>
      </c>
      <c r="G25" s="1">
        <f t="shared" si="3"/>
        <v>2665051</v>
      </c>
      <c r="H25" s="1">
        <f t="shared" si="4"/>
        <v>10279483</v>
      </c>
      <c r="I25" s="1">
        <f t="shared" si="0"/>
        <v>7.29</v>
      </c>
    </row>
    <row r="26" spans="1:9" ht="30" customHeight="1">
      <c r="A26" s="21" t="s">
        <v>13</v>
      </c>
      <c r="B26" s="14">
        <v>2020</v>
      </c>
      <c r="C26" s="7">
        <v>1412120000</v>
      </c>
      <c r="D26" s="7">
        <v>75.3</v>
      </c>
      <c r="E26" s="7">
        <f>ROUND((2.4/1000)*C26,0)</f>
        <v>3389088</v>
      </c>
      <c r="F26" s="7">
        <f>ROUND((3.3/1000)*C26,0)</f>
        <v>4659996</v>
      </c>
      <c r="G26" s="7">
        <f t="shared" si="3"/>
        <v>2817179</v>
      </c>
      <c r="H26" s="7">
        <f t="shared" si="4"/>
        <v>10866263</v>
      </c>
      <c r="I26" s="7">
        <f t="shared" si="0"/>
        <v>7.69</v>
      </c>
    </row>
    <row r="27" spans="1:9" ht="30" customHeight="1">
      <c r="A27" s="3" t="s">
        <v>14</v>
      </c>
      <c r="B27" s="5">
        <v>2016</v>
      </c>
      <c r="C27" s="5">
        <v>1224562</v>
      </c>
      <c r="D27" s="5">
        <v>67.400000000000006</v>
      </c>
      <c r="E27" s="5">
        <f>ROUND((0.8/1000)*C27,0)</f>
        <v>980</v>
      </c>
      <c r="F27" s="5">
        <f>ROUND((1.7/1000)*C27,0)</f>
        <v>2082</v>
      </c>
      <c r="G27" s="5">
        <f t="shared" si="3"/>
        <v>1072</v>
      </c>
      <c r="H27" s="5">
        <f t="shared" si="4"/>
        <v>4134</v>
      </c>
      <c r="I27" s="5">
        <f t="shared" si="0"/>
        <v>3.38</v>
      </c>
    </row>
    <row r="28" spans="1:9" ht="30" customHeight="1">
      <c r="A28" s="3" t="s">
        <v>14</v>
      </c>
      <c r="B28" s="1">
        <v>2017</v>
      </c>
      <c r="C28" s="1">
        <v>1423235</v>
      </c>
      <c r="D28" s="1">
        <v>67.7</v>
      </c>
      <c r="E28" s="1">
        <f>ROUND((0.8/1000)*C28,0)</f>
        <v>1139</v>
      </c>
      <c r="F28" s="1">
        <f t="shared" ref="F28:F29" si="9">ROUND((1.7/1000)*C28,0)</f>
        <v>2419</v>
      </c>
      <c r="G28" s="1">
        <f t="shared" si="3"/>
        <v>1245</v>
      </c>
      <c r="H28" s="1">
        <f t="shared" si="4"/>
        <v>4803</v>
      </c>
      <c r="I28" s="1">
        <f t="shared" si="0"/>
        <v>3.37</v>
      </c>
    </row>
    <row r="29" spans="1:9" ht="30" customHeight="1">
      <c r="A29" s="3" t="s">
        <v>14</v>
      </c>
      <c r="B29" s="5">
        <v>2018</v>
      </c>
      <c r="C29" s="1">
        <v>1261845</v>
      </c>
      <c r="D29" s="1">
        <v>68</v>
      </c>
      <c r="E29" s="1">
        <f>ROUND((0.7/1000)*C29,0)</f>
        <v>883</v>
      </c>
      <c r="F29" s="1">
        <f t="shared" si="9"/>
        <v>2145</v>
      </c>
      <c r="G29" s="1">
        <f t="shared" si="3"/>
        <v>1060</v>
      </c>
      <c r="H29" s="1">
        <f t="shared" si="4"/>
        <v>4088</v>
      </c>
      <c r="I29" s="1">
        <f t="shared" si="0"/>
        <v>3.24</v>
      </c>
    </row>
    <row r="30" spans="1:9" ht="30" customHeight="1">
      <c r="A30" s="3" t="s">
        <v>14</v>
      </c>
      <c r="B30" s="1">
        <v>2019</v>
      </c>
      <c r="C30" s="1">
        <v>1280438</v>
      </c>
      <c r="D30" s="1">
        <v>68.3</v>
      </c>
      <c r="E30" s="1">
        <f>ROUND((0.8/1000)*C30,0)</f>
        <v>1024</v>
      </c>
      <c r="F30" s="1">
        <f>ROUND((1.8/1000)*C30,0)</f>
        <v>2305</v>
      </c>
      <c r="G30" s="1">
        <f t="shared" si="3"/>
        <v>1165</v>
      </c>
      <c r="H30" s="1">
        <f t="shared" si="4"/>
        <v>4494</v>
      </c>
      <c r="I30" s="1">
        <f t="shared" si="0"/>
        <v>3.51</v>
      </c>
    </row>
    <row r="31" spans="1:9" ht="30" customHeight="1">
      <c r="A31" s="21" t="s">
        <v>14</v>
      </c>
      <c r="B31" s="14">
        <v>2020</v>
      </c>
      <c r="C31" s="7">
        <v>1299995</v>
      </c>
      <c r="D31" s="7">
        <v>68.5</v>
      </c>
      <c r="E31" s="7">
        <f>ROUND((0.8/1000)*C31,0)</f>
        <v>1040</v>
      </c>
      <c r="F31" s="7">
        <f>ROUND((1.8/1000)*C31,0)</f>
        <v>2340</v>
      </c>
      <c r="G31" s="7">
        <f t="shared" si="3"/>
        <v>1183</v>
      </c>
      <c r="H31" s="7">
        <f t="shared" si="4"/>
        <v>4563</v>
      </c>
      <c r="I31" s="7">
        <f t="shared" si="0"/>
        <v>3.51</v>
      </c>
    </row>
    <row r="32" spans="1:9" ht="30" customHeight="1">
      <c r="A32" s="3" t="s">
        <v>15</v>
      </c>
      <c r="B32" s="5">
        <v>2016</v>
      </c>
      <c r="C32" s="5">
        <v>918000</v>
      </c>
      <c r="D32" s="5">
        <v>67.14</v>
      </c>
      <c r="E32" s="5">
        <f>ROUND((0.4/1000)*C32,0)</f>
        <v>367</v>
      </c>
      <c r="F32" s="5">
        <f>ROUND((3.2/1000)*C32,0)</f>
        <v>2938</v>
      </c>
      <c r="G32" s="5">
        <f t="shared" si="3"/>
        <v>1157</v>
      </c>
      <c r="H32" s="5">
        <f t="shared" si="4"/>
        <v>4462</v>
      </c>
      <c r="I32" s="5">
        <f t="shared" si="0"/>
        <v>4.8600000000000003</v>
      </c>
    </row>
    <row r="33" spans="1:9" ht="30" customHeight="1">
      <c r="A33" s="2" t="s">
        <v>15</v>
      </c>
      <c r="B33" s="1">
        <v>2017</v>
      </c>
      <c r="C33" s="1">
        <v>919000</v>
      </c>
      <c r="D33" s="1">
        <v>67.209999999999994</v>
      </c>
      <c r="E33" s="1">
        <f t="shared" ref="E33:E36" si="10">ROUND((0.4/1000)*C33,0)</f>
        <v>368</v>
      </c>
      <c r="F33" s="1">
        <f t="shared" ref="F33:F35" si="11">ROUND((3.2/1000)*C33,0)</f>
        <v>2941</v>
      </c>
      <c r="G33" s="1">
        <f t="shared" si="3"/>
        <v>1158</v>
      </c>
      <c r="H33" s="1">
        <f t="shared" si="4"/>
        <v>4467</v>
      </c>
      <c r="I33" s="1">
        <f t="shared" si="0"/>
        <v>4.8600000000000003</v>
      </c>
    </row>
    <row r="34" spans="1:9" ht="30" customHeight="1">
      <c r="A34" s="2" t="s">
        <v>15</v>
      </c>
      <c r="B34" s="5">
        <v>2018</v>
      </c>
      <c r="C34" s="1">
        <v>919000</v>
      </c>
      <c r="D34" s="1">
        <v>67.27</v>
      </c>
      <c r="E34" s="1">
        <f t="shared" si="10"/>
        <v>368</v>
      </c>
      <c r="F34" s="1">
        <f t="shared" si="11"/>
        <v>2941</v>
      </c>
      <c r="G34" s="1">
        <f t="shared" si="3"/>
        <v>1158</v>
      </c>
      <c r="H34" s="1">
        <f t="shared" si="4"/>
        <v>4467</v>
      </c>
      <c r="I34" s="1">
        <f t="shared" si="0"/>
        <v>4.8600000000000003</v>
      </c>
    </row>
    <row r="35" spans="1:9" ht="30" customHeight="1">
      <c r="A35" s="2" t="s">
        <v>15</v>
      </c>
      <c r="B35" s="1">
        <v>2019</v>
      </c>
      <c r="C35" s="1">
        <v>918000</v>
      </c>
      <c r="D35" s="1">
        <v>67.400000000000006</v>
      </c>
      <c r="E35" s="1">
        <f t="shared" si="10"/>
        <v>367</v>
      </c>
      <c r="F35" s="1">
        <f>ROUND((3.8/1000)*C35,0)</f>
        <v>3488</v>
      </c>
      <c r="G35" s="1">
        <f t="shared" si="3"/>
        <v>1349</v>
      </c>
      <c r="H35" s="1">
        <f t="shared" si="4"/>
        <v>5204</v>
      </c>
      <c r="I35" s="1">
        <f t="shared" si="0"/>
        <v>5.67</v>
      </c>
    </row>
    <row r="36" spans="1:9" ht="30" customHeight="1">
      <c r="A36" s="9" t="s">
        <v>15</v>
      </c>
      <c r="B36" s="14">
        <v>2020</v>
      </c>
      <c r="C36" s="7">
        <v>920000</v>
      </c>
      <c r="D36" s="7">
        <v>67.53</v>
      </c>
      <c r="E36" s="7">
        <f t="shared" si="10"/>
        <v>368</v>
      </c>
      <c r="F36" s="7">
        <f>ROUND((3.8/1000)*C36,0)</f>
        <v>3496</v>
      </c>
      <c r="G36" s="7">
        <f t="shared" si="3"/>
        <v>1352</v>
      </c>
      <c r="H36" s="7">
        <f t="shared" si="4"/>
        <v>5216</v>
      </c>
      <c r="I36" s="7">
        <f t="shared" si="0"/>
        <v>5.67</v>
      </c>
    </row>
    <row r="37" spans="1:9" ht="30" customHeight="1">
      <c r="A37" s="3" t="s">
        <v>16</v>
      </c>
      <c r="B37" s="5">
        <v>2016</v>
      </c>
      <c r="C37" s="4">
        <v>1338636340</v>
      </c>
      <c r="D37" s="5">
        <v>69.599999999999994</v>
      </c>
      <c r="E37" s="5">
        <f>ROUND((0.7/1000)*C37,0)</f>
        <v>937045</v>
      </c>
      <c r="F37" s="5">
        <f>ROUND((2.1/1000)*C37,0)</f>
        <v>2811136</v>
      </c>
      <c r="G37" s="5">
        <f t="shared" si="3"/>
        <v>1311863</v>
      </c>
      <c r="H37" s="5">
        <f t="shared" si="4"/>
        <v>5060044</v>
      </c>
      <c r="I37" s="5">
        <f t="shared" si="0"/>
        <v>3.78</v>
      </c>
    </row>
    <row r="38" spans="1:9" ht="30" customHeight="1">
      <c r="A38" s="2" t="s">
        <v>16</v>
      </c>
      <c r="B38" s="1">
        <v>2017</v>
      </c>
      <c r="C38" s="19">
        <v>1354195680</v>
      </c>
      <c r="D38" s="1">
        <v>70.099999999999994</v>
      </c>
      <c r="E38" s="1">
        <f t="shared" ref="E38:E42" si="12">ROUND((0.7/1000)*C38,0)</f>
        <v>947937</v>
      </c>
      <c r="F38" s="1">
        <f>ROUND((2.1/1000)*C38,0)</f>
        <v>2843811</v>
      </c>
      <c r="G38" s="1">
        <f t="shared" si="3"/>
        <v>1327112</v>
      </c>
      <c r="H38" s="1">
        <f t="shared" si="4"/>
        <v>5118860</v>
      </c>
      <c r="I38" s="1">
        <f t="shared" si="0"/>
        <v>3.78</v>
      </c>
    </row>
    <row r="39" spans="1:9" ht="30" customHeight="1">
      <c r="A39" s="2" t="s">
        <v>16</v>
      </c>
      <c r="B39" s="1">
        <v>2018</v>
      </c>
      <c r="C39" s="19">
        <v>1369003306</v>
      </c>
      <c r="D39" s="1">
        <v>70.5</v>
      </c>
      <c r="E39" s="1">
        <f t="shared" si="12"/>
        <v>958302</v>
      </c>
      <c r="F39" s="1">
        <f>ROUND((1.7/1000)*C39,0)</f>
        <v>2327306</v>
      </c>
      <c r="G39" s="1">
        <f t="shared" si="3"/>
        <v>1149963</v>
      </c>
      <c r="H39" s="1">
        <f t="shared" si="4"/>
        <v>4435571</v>
      </c>
      <c r="I39" s="1">
        <f t="shared" si="0"/>
        <v>3.24</v>
      </c>
    </row>
    <row r="40" spans="1:9" ht="30" customHeight="1">
      <c r="A40" s="2" t="s">
        <v>16</v>
      </c>
      <c r="B40" s="1">
        <v>2019</v>
      </c>
      <c r="C40" s="19">
        <v>1383112050</v>
      </c>
      <c r="D40" s="1">
        <v>70.7</v>
      </c>
      <c r="E40" s="1">
        <f t="shared" si="12"/>
        <v>968178</v>
      </c>
      <c r="F40" s="1">
        <f t="shared" ref="F40:F42" si="13">ROUND((1.7/1000)*C40,0)</f>
        <v>2351290</v>
      </c>
      <c r="G40" s="1">
        <f t="shared" si="3"/>
        <v>1161814</v>
      </c>
      <c r="H40" s="1">
        <f t="shared" si="4"/>
        <v>4481282</v>
      </c>
      <c r="I40" s="1">
        <f t="shared" si="0"/>
        <v>3.24</v>
      </c>
    </row>
    <row r="41" spans="1:9" ht="30" customHeight="1">
      <c r="A41" s="9" t="s">
        <v>16</v>
      </c>
      <c r="B41" s="7">
        <v>2020</v>
      </c>
      <c r="C41" s="20">
        <v>1396387127</v>
      </c>
      <c r="D41" s="7">
        <v>70.900000000000006</v>
      </c>
      <c r="E41" s="7">
        <f>ROUND((0.7/1000)*C41,0)</f>
        <v>977471</v>
      </c>
      <c r="F41" s="7">
        <f t="shared" si="13"/>
        <v>2373858</v>
      </c>
      <c r="G41" s="7">
        <f t="shared" si="3"/>
        <v>1172965</v>
      </c>
      <c r="H41" s="7">
        <f t="shared" si="4"/>
        <v>4524294</v>
      </c>
      <c r="I41" s="7">
        <f t="shared" si="0"/>
        <v>3.24</v>
      </c>
    </row>
    <row r="42" spans="1:9" ht="30" customHeight="1">
      <c r="A42" s="3" t="s">
        <v>17</v>
      </c>
      <c r="B42" s="5">
        <v>2016</v>
      </c>
      <c r="C42" s="22">
        <v>261850182</v>
      </c>
      <c r="D42" s="11">
        <v>69.7</v>
      </c>
      <c r="E42" s="5">
        <f>ROUND((0.4/1000)*C42,0)</f>
        <v>104740</v>
      </c>
      <c r="F42" s="23">
        <f>ROUND((2.1/1000)*C42,0)</f>
        <v>549885</v>
      </c>
      <c r="G42" s="6">
        <f t="shared" si="3"/>
        <v>229119</v>
      </c>
      <c r="H42" s="6">
        <f t="shared" si="4"/>
        <v>883744</v>
      </c>
      <c r="I42" s="6">
        <f t="shared" si="0"/>
        <v>3.37</v>
      </c>
    </row>
    <row r="43" spans="1:9" ht="30" customHeight="1">
      <c r="A43" s="2" t="s">
        <v>17</v>
      </c>
      <c r="B43" s="10">
        <v>2017</v>
      </c>
      <c r="C43" s="19">
        <v>264498852</v>
      </c>
      <c r="D43" s="28">
        <v>69.8</v>
      </c>
      <c r="E43" s="5">
        <f t="shared" ref="E43:E44" si="14">ROUND((0.4/1000)*C43,0)</f>
        <v>105800</v>
      </c>
      <c r="F43" s="24">
        <f t="shared" ref="F43:F46" si="15">ROUND((2.1/1000)*C43,0)</f>
        <v>555448</v>
      </c>
      <c r="G43" s="1">
        <f t="shared" si="3"/>
        <v>231437</v>
      </c>
      <c r="H43" s="1">
        <f t="shared" si="4"/>
        <v>892685</v>
      </c>
      <c r="I43" s="1">
        <f t="shared" si="0"/>
        <v>3.38</v>
      </c>
    </row>
    <row r="44" spans="1:9" ht="30" customHeight="1">
      <c r="A44" s="2" t="s">
        <v>17</v>
      </c>
      <c r="B44" s="10">
        <v>2018</v>
      </c>
      <c r="C44" s="19">
        <v>267066843</v>
      </c>
      <c r="D44" s="28">
        <v>70.3</v>
      </c>
      <c r="E44" s="5">
        <f t="shared" si="14"/>
        <v>106827</v>
      </c>
      <c r="F44" s="24">
        <f>ROUND((3.1/1000)*C44,0)</f>
        <v>827907</v>
      </c>
      <c r="G44" s="1">
        <f t="shared" si="3"/>
        <v>327157</v>
      </c>
      <c r="H44" s="1">
        <f t="shared" si="4"/>
        <v>1261891</v>
      </c>
      <c r="I44" s="1">
        <f t="shared" si="0"/>
        <v>4.7300000000000004</v>
      </c>
    </row>
    <row r="45" spans="1:9" ht="30" customHeight="1">
      <c r="A45" s="2" t="s">
        <v>17</v>
      </c>
      <c r="B45" s="10">
        <v>2019</v>
      </c>
      <c r="C45" s="19">
        <v>269582878</v>
      </c>
      <c r="D45" s="28">
        <v>70.5</v>
      </c>
      <c r="E45" s="5">
        <f>ROUND((0.5/1000)*C45,0)</f>
        <v>134791</v>
      </c>
      <c r="F45" s="24">
        <f>ROUND((3.8/1000)*C45,0)</f>
        <v>1024415</v>
      </c>
      <c r="G45" s="1">
        <f t="shared" si="3"/>
        <v>405722</v>
      </c>
      <c r="H45" s="1">
        <f t="shared" si="4"/>
        <v>1564928</v>
      </c>
      <c r="I45" s="1">
        <f t="shared" si="0"/>
        <v>5.8</v>
      </c>
    </row>
    <row r="46" spans="1:9" ht="30" customHeight="1">
      <c r="A46" s="9" t="s">
        <v>17</v>
      </c>
      <c r="B46" s="7">
        <v>2020</v>
      </c>
      <c r="C46" s="25">
        <v>271857970</v>
      </c>
      <c r="D46" s="7">
        <v>68.8</v>
      </c>
      <c r="E46" s="14">
        <f>ROUND((0.6/1000)*C46,0)</f>
        <v>163115</v>
      </c>
      <c r="F46" s="26">
        <f>ROUND((4/1000)*C46,0)</f>
        <v>1087432</v>
      </c>
      <c r="G46" s="14">
        <f t="shared" si="3"/>
        <v>437691</v>
      </c>
      <c r="H46" s="14">
        <f t="shared" si="4"/>
        <v>1688238</v>
      </c>
      <c r="I46" s="14">
        <f t="shared" si="0"/>
        <v>6.21</v>
      </c>
    </row>
    <row r="47" spans="1:9" ht="30" customHeight="1">
      <c r="A47" s="3" t="s">
        <v>18</v>
      </c>
      <c r="B47" s="5">
        <v>2016</v>
      </c>
      <c r="C47" s="5">
        <v>6891363</v>
      </c>
      <c r="D47" s="5">
        <v>67.2</v>
      </c>
      <c r="E47" s="5">
        <f>ROUND((0.3/1000)*C47,0)</f>
        <v>2067</v>
      </c>
      <c r="F47" s="5">
        <f>ROUND((1.3/1000)*C47,0)</f>
        <v>8959</v>
      </c>
      <c r="G47" s="6">
        <f t="shared" si="3"/>
        <v>3859</v>
      </c>
      <c r="H47" s="6">
        <f t="shared" si="4"/>
        <v>14885</v>
      </c>
      <c r="I47" s="6">
        <f t="shared" si="0"/>
        <v>2.16</v>
      </c>
    </row>
    <row r="48" spans="1:9" ht="30" customHeight="1">
      <c r="A48" s="3" t="s">
        <v>18</v>
      </c>
      <c r="B48" s="1">
        <v>2017</v>
      </c>
      <c r="C48" s="1">
        <v>6997917</v>
      </c>
      <c r="D48" s="1">
        <v>67.400000000000006</v>
      </c>
      <c r="E48" s="5">
        <f t="shared" ref="E48:E51" si="16">ROUND((0.3/1000)*C48,0)</f>
        <v>2099</v>
      </c>
      <c r="F48" s="11">
        <f>ROUND((1.2/1000)*C48,0)</f>
        <v>8398</v>
      </c>
      <c r="G48" s="1">
        <f t="shared" si="3"/>
        <v>3674</v>
      </c>
      <c r="H48" s="1">
        <f t="shared" si="4"/>
        <v>14171</v>
      </c>
      <c r="I48" s="1">
        <f t="shared" si="0"/>
        <v>2.0299999999999998</v>
      </c>
    </row>
    <row r="49" spans="1:9" ht="30" customHeight="1">
      <c r="A49" s="3" t="s">
        <v>18</v>
      </c>
      <c r="B49" s="1">
        <v>2018</v>
      </c>
      <c r="C49" s="1">
        <v>7105006</v>
      </c>
      <c r="D49" s="1">
        <v>67.599999999999994</v>
      </c>
      <c r="E49" s="5">
        <f t="shared" si="16"/>
        <v>2132</v>
      </c>
      <c r="F49" s="11">
        <f>ROUND((1.2/1000)*C49,0)</f>
        <v>8526</v>
      </c>
      <c r="G49" s="1">
        <f t="shared" si="3"/>
        <v>3730</v>
      </c>
      <c r="H49" s="1">
        <f t="shared" si="4"/>
        <v>14388</v>
      </c>
      <c r="I49" s="1">
        <f t="shared" si="0"/>
        <v>2.0299999999999998</v>
      </c>
    </row>
    <row r="50" spans="1:9" ht="30" customHeight="1">
      <c r="A50" s="3" t="s">
        <v>18</v>
      </c>
      <c r="B50" s="1">
        <v>2019</v>
      </c>
      <c r="C50" s="1">
        <v>7212053</v>
      </c>
      <c r="D50" s="1">
        <v>68.099999999999994</v>
      </c>
      <c r="E50" s="5">
        <f t="shared" si="16"/>
        <v>2164</v>
      </c>
      <c r="F50" s="11">
        <f>ROUND((1.5/1000)*C50,0)</f>
        <v>10818</v>
      </c>
      <c r="G50" s="1">
        <f t="shared" si="3"/>
        <v>4544</v>
      </c>
      <c r="H50" s="1">
        <f t="shared" si="4"/>
        <v>17526</v>
      </c>
      <c r="I50" s="1">
        <f t="shared" si="0"/>
        <v>2.4300000000000002</v>
      </c>
    </row>
    <row r="51" spans="1:9" ht="30" customHeight="1">
      <c r="A51" s="21" t="s">
        <v>18</v>
      </c>
      <c r="B51" s="7">
        <v>2020</v>
      </c>
      <c r="C51" s="7">
        <v>7319399</v>
      </c>
      <c r="D51" s="7">
        <v>68.5</v>
      </c>
      <c r="E51" s="14">
        <f>ROUND((0.3/1000)*C51,0)</f>
        <v>2196</v>
      </c>
      <c r="F51" s="14">
        <f>ROUND((1.2/1000)*C51,0)</f>
        <v>8783</v>
      </c>
      <c r="G51" s="14">
        <f t="shared" si="3"/>
        <v>3843</v>
      </c>
      <c r="H51" s="14">
        <f t="shared" si="4"/>
        <v>14822</v>
      </c>
      <c r="I51" s="14">
        <f t="shared" si="0"/>
        <v>2.0299999999999998</v>
      </c>
    </row>
    <row r="52" spans="1:9" ht="30" customHeight="1">
      <c r="A52" s="3" t="s">
        <v>19</v>
      </c>
      <c r="B52" s="5">
        <v>2016</v>
      </c>
      <c r="C52" s="5">
        <v>31526418</v>
      </c>
      <c r="D52" s="5">
        <v>75.3</v>
      </c>
      <c r="E52" s="5">
        <f>ROUND((1.6/1000)*C52,0)</f>
        <v>50442</v>
      </c>
      <c r="F52" s="5">
        <f>ROUND((4.1/1000)*C52,0)</f>
        <v>129258</v>
      </c>
      <c r="G52" s="6">
        <f t="shared" si="3"/>
        <v>62895</v>
      </c>
      <c r="H52" s="6">
        <f t="shared" si="4"/>
        <v>242595</v>
      </c>
      <c r="I52" s="6">
        <f t="shared" si="0"/>
        <v>7.69</v>
      </c>
    </row>
    <row r="53" spans="1:9" ht="30" customHeight="1">
      <c r="A53" s="2" t="s">
        <v>19</v>
      </c>
      <c r="B53" s="1">
        <v>2017</v>
      </c>
      <c r="C53" s="1">
        <v>31975806</v>
      </c>
      <c r="D53" s="1">
        <v>75.5</v>
      </c>
      <c r="E53" s="5">
        <f>ROUND((1.8/1000)*C53,0)</f>
        <v>57556</v>
      </c>
      <c r="F53" s="11">
        <f t="shared" ref="F53:F56" si="17">ROUND((4.1/1000)*C53,0)</f>
        <v>131101</v>
      </c>
      <c r="G53" s="1">
        <f t="shared" si="3"/>
        <v>66030</v>
      </c>
      <c r="H53" s="1">
        <f t="shared" si="4"/>
        <v>254687</v>
      </c>
      <c r="I53" s="1">
        <f t="shared" si="0"/>
        <v>7.96</v>
      </c>
    </row>
    <row r="54" spans="1:9" ht="30" customHeight="1">
      <c r="A54" s="2" t="s">
        <v>19</v>
      </c>
      <c r="B54" s="1">
        <v>2018</v>
      </c>
      <c r="C54" s="1">
        <v>32399271</v>
      </c>
      <c r="D54" s="1">
        <v>75.599999999999994</v>
      </c>
      <c r="E54" s="5">
        <f>ROUND((1.9/1000)*C54,0)</f>
        <v>61559</v>
      </c>
      <c r="F54" s="11">
        <f>ROUND((4.2/1000)*C54,0)</f>
        <v>136077</v>
      </c>
      <c r="G54" s="1">
        <f t="shared" si="3"/>
        <v>69173</v>
      </c>
      <c r="H54" s="1">
        <f t="shared" si="4"/>
        <v>266809</v>
      </c>
      <c r="I54" s="1">
        <f t="shared" si="0"/>
        <v>8.24</v>
      </c>
    </row>
    <row r="55" spans="1:9" ht="30" customHeight="1">
      <c r="A55" s="2" t="s">
        <v>19</v>
      </c>
      <c r="B55" s="1">
        <v>2019</v>
      </c>
      <c r="C55" s="1">
        <v>32804020</v>
      </c>
      <c r="D55" s="1">
        <v>75.8</v>
      </c>
      <c r="E55" s="5">
        <f>ROUND((2.1/1000)*C55,0)</f>
        <v>68888</v>
      </c>
      <c r="F55" s="11">
        <f>ROUND((3.4/1000)*C55,0)</f>
        <v>111534</v>
      </c>
      <c r="G55" s="1">
        <f t="shared" si="3"/>
        <v>63148</v>
      </c>
      <c r="H55" s="1">
        <f t="shared" si="4"/>
        <v>243570</v>
      </c>
      <c r="I55" s="1">
        <f t="shared" si="0"/>
        <v>7.43</v>
      </c>
    </row>
    <row r="56" spans="1:9" ht="30" customHeight="1">
      <c r="A56" s="9" t="s">
        <v>19</v>
      </c>
      <c r="B56" s="7">
        <v>2020</v>
      </c>
      <c r="C56" s="7">
        <v>33199993</v>
      </c>
      <c r="D56" s="7">
        <v>75.900000000000006</v>
      </c>
      <c r="E56" s="14">
        <f>ROUND((2.2/1000)*C56,0)</f>
        <v>73040</v>
      </c>
      <c r="F56" s="14">
        <f>ROUND((3.4/1000)*C56,0)</f>
        <v>112880</v>
      </c>
      <c r="G56" s="14">
        <f t="shared" si="3"/>
        <v>65072</v>
      </c>
      <c r="H56" s="14">
        <f t="shared" si="4"/>
        <v>250992</v>
      </c>
      <c r="I56" s="14">
        <f t="shared" si="0"/>
        <v>7.56</v>
      </c>
    </row>
    <row r="57" spans="1:9" ht="30" customHeight="1">
      <c r="A57" s="3" t="s">
        <v>20</v>
      </c>
      <c r="B57" s="5">
        <v>2016</v>
      </c>
      <c r="C57" s="5">
        <v>51892349</v>
      </c>
      <c r="D57" s="5">
        <v>65.930000000000007</v>
      </c>
      <c r="E57" s="5">
        <f>ROUND((0.6/1000)*C57,0)</f>
        <v>31135</v>
      </c>
      <c r="F57" s="5">
        <f>ROUND((1.1/1000)*C57,0)</f>
        <v>57082</v>
      </c>
      <c r="G57" s="6">
        <f t="shared" si="3"/>
        <v>30876</v>
      </c>
      <c r="H57" s="6">
        <f t="shared" si="4"/>
        <v>119093</v>
      </c>
      <c r="I57" s="6">
        <f t="shared" si="0"/>
        <v>2.2999999999999998</v>
      </c>
    </row>
    <row r="58" spans="1:9" ht="30" customHeight="1">
      <c r="A58" s="2" t="s">
        <v>20</v>
      </c>
      <c r="B58" s="1">
        <v>2017</v>
      </c>
      <c r="C58" s="1">
        <v>52288341</v>
      </c>
      <c r="D58" s="1">
        <v>66.34</v>
      </c>
      <c r="E58" s="5">
        <f>ROUND((0.9/1000)*C58,0)</f>
        <v>47060</v>
      </c>
      <c r="F58" s="11">
        <f t="shared" ref="F58:F62" si="18">ROUND((1.1/1000)*C58,0)</f>
        <v>57517</v>
      </c>
      <c r="G58" s="1">
        <f t="shared" si="3"/>
        <v>36602</v>
      </c>
      <c r="H58" s="1">
        <f t="shared" si="4"/>
        <v>141179</v>
      </c>
      <c r="I58" s="1">
        <f t="shared" si="0"/>
        <v>2.7</v>
      </c>
    </row>
    <row r="59" spans="1:9" ht="30" customHeight="1">
      <c r="A59" s="2" t="s">
        <v>20</v>
      </c>
      <c r="B59" s="1">
        <v>2018</v>
      </c>
      <c r="C59" s="1">
        <v>52666014</v>
      </c>
      <c r="D59" s="1">
        <v>66.760000000000005</v>
      </c>
      <c r="E59" s="5">
        <f>ROUND((0.7/1000)*C59,0)</f>
        <v>36866</v>
      </c>
      <c r="F59" s="11">
        <f>ROUND((1/1000)*C59,0)</f>
        <v>52666</v>
      </c>
      <c r="G59" s="1">
        <f t="shared" si="3"/>
        <v>31336</v>
      </c>
      <c r="H59" s="1">
        <f t="shared" si="4"/>
        <v>120868</v>
      </c>
      <c r="I59" s="1">
        <f t="shared" si="0"/>
        <v>2.29</v>
      </c>
    </row>
    <row r="60" spans="1:9" ht="30" customHeight="1">
      <c r="A60" s="2" t="s">
        <v>20</v>
      </c>
      <c r="B60" s="1">
        <v>2019</v>
      </c>
      <c r="C60" s="1">
        <v>53040212</v>
      </c>
      <c r="D60" s="1">
        <v>66.959999999999994</v>
      </c>
      <c r="E60" s="5">
        <f>ROUND((0.8/1000)*C60,0)</f>
        <v>42432</v>
      </c>
      <c r="F60" s="11">
        <f t="shared" si="18"/>
        <v>58344</v>
      </c>
      <c r="G60" s="1">
        <f t="shared" si="3"/>
        <v>35272</v>
      </c>
      <c r="H60" s="1">
        <f t="shared" si="4"/>
        <v>136048</v>
      </c>
      <c r="I60" s="1">
        <f t="shared" si="0"/>
        <v>2.56</v>
      </c>
    </row>
    <row r="61" spans="1:9" ht="30" customHeight="1">
      <c r="A61" s="9" t="s">
        <v>20</v>
      </c>
      <c r="B61" s="7">
        <v>2020</v>
      </c>
      <c r="C61" s="7">
        <v>53423198</v>
      </c>
      <c r="D61" s="7">
        <v>67.17</v>
      </c>
      <c r="E61" s="14">
        <f>ROUND((0.8/1000)*C61,0)</f>
        <v>42739</v>
      </c>
      <c r="F61" s="14">
        <f t="shared" si="18"/>
        <v>58766</v>
      </c>
      <c r="G61" s="14">
        <f t="shared" si="3"/>
        <v>35527</v>
      </c>
      <c r="H61" s="14">
        <f t="shared" si="4"/>
        <v>137032</v>
      </c>
      <c r="I61" s="14">
        <f t="shared" si="0"/>
        <v>2.57</v>
      </c>
    </row>
    <row r="62" spans="1:9" ht="30" customHeight="1">
      <c r="A62" s="3" t="s">
        <v>21</v>
      </c>
      <c r="B62" s="5">
        <v>2016</v>
      </c>
      <c r="C62" s="5">
        <v>283748</v>
      </c>
      <c r="D62" s="5">
        <v>76.900000000000006</v>
      </c>
      <c r="E62" s="5">
        <f>ROUND((2.2/1000)*C62,0)</f>
        <v>624</v>
      </c>
      <c r="F62" s="5">
        <f>ROUND((2.5/1000)*C62,0)</f>
        <v>709</v>
      </c>
      <c r="G62" s="6">
        <f t="shared" si="3"/>
        <v>467</v>
      </c>
      <c r="H62" s="6">
        <f t="shared" si="4"/>
        <v>1800</v>
      </c>
      <c r="I62" s="6">
        <f t="shared" si="0"/>
        <v>6.34</v>
      </c>
    </row>
    <row r="63" spans="1:9" ht="30" customHeight="1">
      <c r="A63" s="2" t="s">
        <v>21</v>
      </c>
      <c r="B63" s="1">
        <v>2017</v>
      </c>
      <c r="C63" s="1">
        <v>284349</v>
      </c>
      <c r="D63" s="1">
        <v>77.09</v>
      </c>
      <c r="E63" s="5">
        <f t="shared" ref="E63:E71" si="19">ROUND((2.2/1000)*C63,0)</f>
        <v>626</v>
      </c>
      <c r="F63" s="11">
        <f t="shared" ref="F63:F67" si="20">ROUND((2.5/1000)*C63,0)</f>
        <v>711</v>
      </c>
      <c r="G63" s="1">
        <f t="shared" si="3"/>
        <v>468</v>
      </c>
      <c r="H63" s="1">
        <f t="shared" si="4"/>
        <v>1805</v>
      </c>
      <c r="I63" s="1">
        <f t="shared" si="0"/>
        <v>6.35</v>
      </c>
    </row>
    <row r="64" spans="1:9" ht="30" customHeight="1">
      <c r="A64" s="2" t="s">
        <v>21</v>
      </c>
      <c r="B64" s="1">
        <v>2018</v>
      </c>
      <c r="C64" s="1">
        <v>284880</v>
      </c>
      <c r="D64" s="1">
        <v>77.28</v>
      </c>
      <c r="E64" s="5">
        <f t="shared" si="19"/>
        <v>627</v>
      </c>
      <c r="F64" s="11">
        <f t="shared" si="20"/>
        <v>712</v>
      </c>
      <c r="G64" s="1">
        <f t="shared" si="3"/>
        <v>469</v>
      </c>
      <c r="H64" s="1">
        <f t="shared" si="4"/>
        <v>1808</v>
      </c>
      <c r="I64" s="1">
        <f t="shared" si="0"/>
        <v>6.35</v>
      </c>
    </row>
    <row r="65" spans="1:9" ht="30" customHeight="1">
      <c r="A65" s="2" t="s">
        <v>21</v>
      </c>
      <c r="B65" s="1">
        <v>2019</v>
      </c>
      <c r="C65" s="1">
        <v>285374</v>
      </c>
      <c r="D65" s="1">
        <v>77.48</v>
      </c>
      <c r="E65" s="5">
        <f t="shared" si="19"/>
        <v>628</v>
      </c>
      <c r="F65" s="11">
        <f t="shared" si="20"/>
        <v>713</v>
      </c>
      <c r="G65" s="1">
        <f t="shared" si="3"/>
        <v>469</v>
      </c>
      <c r="H65" s="1">
        <f t="shared" si="4"/>
        <v>1810</v>
      </c>
      <c r="I65" s="1">
        <f t="shared" si="0"/>
        <v>6.34</v>
      </c>
    </row>
    <row r="66" spans="1:9" ht="30" customHeight="1">
      <c r="A66" s="9" t="s">
        <v>21</v>
      </c>
      <c r="B66" s="7">
        <v>2020</v>
      </c>
      <c r="C66" s="7">
        <v>286403</v>
      </c>
      <c r="D66" s="7">
        <v>77.63</v>
      </c>
      <c r="E66" s="14">
        <f t="shared" si="19"/>
        <v>630</v>
      </c>
      <c r="F66" s="14">
        <f t="shared" si="20"/>
        <v>716</v>
      </c>
      <c r="G66" s="14">
        <f t="shared" si="3"/>
        <v>471</v>
      </c>
      <c r="H66" s="14">
        <f t="shared" si="4"/>
        <v>1817</v>
      </c>
      <c r="I66" s="14">
        <f t="shared" si="0"/>
        <v>6.34</v>
      </c>
    </row>
    <row r="67" spans="1:9" ht="30" customHeight="1">
      <c r="A67" s="3" t="s">
        <v>22</v>
      </c>
      <c r="B67" s="5">
        <v>2016</v>
      </c>
      <c r="C67" s="5">
        <v>4668081</v>
      </c>
      <c r="D67" s="5">
        <v>81.760000000000005</v>
      </c>
      <c r="E67" s="5">
        <f>ROUND((3.1/1000)*C67,0)</f>
        <v>14471</v>
      </c>
      <c r="F67" s="5">
        <f>ROUND((10.9/1000)*C67,0)</f>
        <v>50882</v>
      </c>
      <c r="G67" s="6">
        <f t="shared" si="3"/>
        <v>22874</v>
      </c>
      <c r="H67" s="6">
        <f t="shared" si="4"/>
        <v>88227</v>
      </c>
      <c r="I67" s="6">
        <f t="shared" si="0"/>
        <v>18.899999999999999</v>
      </c>
    </row>
    <row r="68" spans="1:9" ht="30" customHeight="1">
      <c r="A68" s="2" t="s">
        <v>22</v>
      </c>
      <c r="B68" s="1">
        <v>2017</v>
      </c>
      <c r="C68" s="1">
        <v>4746252</v>
      </c>
      <c r="D68" s="1">
        <v>81.91</v>
      </c>
      <c r="E68" s="5">
        <f>ROUND((3.3/1000)*C68,0)</f>
        <v>15663</v>
      </c>
      <c r="F68" s="11">
        <f>ROUND((10.8/1000)*C68,0)</f>
        <v>51260</v>
      </c>
      <c r="G68" s="1">
        <f t="shared" si="3"/>
        <v>23423</v>
      </c>
      <c r="H68" s="1">
        <f t="shared" si="4"/>
        <v>90346</v>
      </c>
      <c r="I68" s="1">
        <f t="shared" ref="I68:I106" si="21">ROUND((H68/C68)*1000,2)</f>
        <v>19.04</v>
      </c>
    </row>
    <row r="69" spans="1:9" ht="30" customHeight="1">
      <c r="A69" s="2" t="s">
        <v>22</v>
      </c>
      <c r="B69" s="1">
        <v>2018</v>
      </c>
      <c r="C69" s="1">
        <v>4838526</v>
      </c>
      <c r="D69" s="1">
        <v>82.06</v>
      </c>
      <c r="E69" s="5">
        <f>ROUND((3.4/1000)*C69,0)</f>
        <v>16451</v>
      </c>
      <c r="F69" s="11">
        <f t="shared" ref="F68:F71" si="22">ROUND((10.9/1000)*C69,0)</f>
        <v>52740</v>
      </c>
      <c r="G69" s="1">
        <f t="shared" si="3"/>
        <v>24217</v>
      </c>
      <c r="H69" s="1">
        <f t="shared" si="4"/>
        <v>93408</v>
      </c>
      <c r="I69" s="1">
        <f t="shared" si="21"/>
        <v>19.309999999999999</v>
      </c>
    </row>
    <row r="70" spans="1:9" ht="30" customHeight="1">
      <c r="A70" s="2" t="s">
        <v>22</v>
      </c>
      <c r="B70" s="1">
        <v>2019</v>
      </c>
      <c r="C70" s="1">
        <v>4959034</v>
      </c>
      <c r="D70" s="1">
        <v>82.21</v>
      </c>
      <c r="E70" s="5">
        <f t="shared" ref="E70:E72" si="23">ROUND((3.4/1000)*C70,0)</f>
        <v>16861</v>
      </c>
      <c r="F70" s="11">
        <f>ROUND((10.8/1000)*C70,0)</f>
        <v>53558</v>
      </c>
      <c r="G70" s="1">
        <f t="shared" si="3"/>
        <v>24647</v>
      </c>
      <c r="H70" s="1">
        <f t="shared" si="4"/>
        <v>95066</v>
      </c>
      <c r="I70" s="1">
        <f t="shared" si="21"/>
        <v>19.170000000000002</v>
      </c>
    </row>
    <row r="71" spans="1:9" ht="30" customHeight="1">
      <c r="A71" s="9" t="s">
        <v>22</v>
      </c>
      <c r="B71" s="7">
        <v>2020</v>
      </c>
      <c r="C71" s="7">
        <v>5061133</v>
      </c>
      <c r="D71" s="7">
        <v>82.36</v>
      </c>
      <c r="E71" s="14">
        <f t="shared" si="23"/>
        <v>17208</v>
      </c>
      <c r="F71" s="14">
        <f>ROUND((11.2/1000)*C71,0)</f>
        <v>56685</v>
      </c>
      <c r="G71" s="14">
        <f t="shared" si="3"/>
        <v>25863</v>
      </c>
      <c r="H71" s="14">
        <f t="shared" si="4"/>
        <v>99756</v>
      </c>
      <c r="I71" s="14">
        <f t="shared" si="21"/>
        <v>19.71</v>
      </c>
    </row>
    <row r="72" spans="1:9" ht="30" customHeight="1">
      <c r="A72" s="3" t="s">
        <v>23</v>
      </c>
      <c r="B72" s="5">
        <v>2016</v>
      </c>
      <c r="C72" s="5">
        <v>8899169</v>
      </c>
      <c r="D72" s="5">
        <v>63.58</v>
      </c>
      <c r="E72" s="5">
        <f>ROUND((0.1/1000)*C72,0)</f>
        <v>890</v>
      </c>
      <c r="F72" s="5">
        <f>ROUND((0.5/1000)*C72,0)</f>
        <v>4450</v>
      </c>
      <c r="G72" s="6">
        <f t="shared" si="3"/>
        <v>1869</v>
      </c>
      <c r="H72" s="6">
        <f t="shared" si="4"/>
        <v>7209</v>
      </c>
      <c r="I72" s="6">
        <f t="shared" si="21"/>
        <v>0.81</v>
      </c>
    </row>
    <row r="73" spans="1:9" ht="30" customHeight="1">
      <c r="A73" s="2" t="s">
        <v>23</v>
      </c>
      <c r="B73" s="1">
        <v>2017</v>
      </c>
      <c r="C73" s="1">
        <v>9114796</v>
      </c>
      <c r="D73" s="1">
        <v>63.87</v>
      </c>
      <c r="E73" s="5">
        <f t="shared" ref="E73:E77" si="24">ROUND((0.1/1000)*C73,0)</f>
        <v>911</v>
      </c>
      <c r="F73" s="11">
        <f t="shared" ref="F73:F74" si="25">ROUND((0.5/1000)*C73,0)</f>
        <v>4557</v>
      </c>
      <c r="G73" s="1">
        <f t="shared" ref="G73:G106" si="26">ROUND((E73+F73)*0.35,0)</f>
        <v>1914</v>
      </c>
      <c r="H73" s="1">
        <f t="shared" ref="H73:H106" si="27">E73+F73+G73</f>
        <v>7382</v>
      </c>
      <c r="I73" s="1">
        <f t="shared" si="21"/>
        <v>0.81</v>
      </c>
    </row>
    <row r="74" spans="1:9" ht="30" customHeight="1">
      <c r="A74" s="2" t="s">
        <v>23</v>
      </c>
      <c r="B74" s="1">
        <v>2018</v>
      </c>
      <c r="C74" s="1">
        <v>9329227</v>
      </c>
      <c r="D74" s="1">
        <v>64.150000000000006</v>
      </c>
      <c r="E74" s="5">
        <f>ROUND((0.1/1000)*C74,0)</f>
        <v>933</v>
      </c>
      <c r="F74" s="11">
        <f t="shared" si="25"/>
        <v>4665</v>
      </c>
      <c r="G74" s="1">
        <f t="shared" si="26"/>
        <v>1959</v>
      </c>
      <c r="H74" s="1">
        <f t="shared" si="27"/>
        <v>7557</v>
      </c>
      <c r="I74" s="1">
        <f t="shared" si="21"/>
        <v>0.81</v>
      </c>
    </row>
    <row r="75" spans="1:9" ht="30" customHeight="1">
      <c r="A75" s="2" t="s">
        <v>23</v>
      </c>
      <c r="B75" s="1">
        <v>2019</v>
      </c>
      <c r="C75" s="1">
        <v>9542486</v>
      </c>
      <c r="D75" s="1">
        <v>64.36</v>
      </c>
      <c r="E75" s="5">
        <f t="shared" si="24"/>
        <v>954</v>
      </c>
      <c r="F75" s="11">
        <f>ROUND((0.4/1000)*C75,0)</f>
        <v>3817</v>
      </c>
      <c r="G75" s="1">
        <f t="shared" si="26"/>
        <v>1670</v>
      </c>
      <c r="H75" s="1">
        <f t="shared" si="27"/>
        <v>6441</v>
      </c>
      <c r="I75" s="1">
        <f t="shared" si="21"/>
        <v>0.67</v>
      </c>
    </row>
    <row r="76" spans="1:9" ht="30" customHeight="1">
      <c r="A76" s="9" t="s">
        <v>23</v>
      </c>
      <c r="B76" s="7">
        <v>2020</v>
      </c>
      <c r="C76" s="7">
        <v>9749640</v>
      </c>
      <c r="D76" s="7">
        <v>64.58</v>
      </c>
      <c r="E76" s="14">
        <f t="shared" si="24"/>
        <v>975</v>
      </c>
      <c r="F76" s="14">
        <f>ROUND((0.4/1000)*C76,0)</f>
        <v>3900</v>
      </c>
      <c r="G76" s="14">
        <f t="shared" si="26"/>
        <v>1706</v>
      </c>
      <c r="H76" s="14">
        <f t="shared" si="27"/>
        <v>6581</v>
      </c>
      <c r="I76" s="14">
        <f t="shared" si="21"/>
        <v>0.67</v>
      </c>
    </row>
    <row r="77" spans="1:9" ht="30" customHeight="1">
      <c r="A77" s="3" t="s">
        <v>24</v>
      </c>
      <c r="B77" s="5">
        <v>2016</v>
      </c>
      <c r="C77" s="5">
        <v>104875266</v>
      </c>
      <c r="D77" s="5">
        <v>70.709999999999994</v>
      </c>
      <c r="E77" s="5">
        <f>ROUND((0.7/1000)*C77,0)</f>
        <v>73413</v>
      </c>
      <c r="F77" s="5">
        <f>ROUND((4.7/1000)*C77,0)</f>
        <v>492914</v>
      </c>
      <c r="G77" s="6">
        <f t="shared" si="26"/>
        <v>198214</v>
      </c>
      <c r="H77" s="6">
        <f t="shared" si="27"/>
        <v>764541</v>
      </c>
      <c r="I77" s="6">
        <f t="shared" si="21"/>
        <v>7.29</v>
      </c>
    </row>
    <row r="78" spans="1:9" ht="30" customHeight="1">
      <c r="A78" s="2" t="s">
        <v>24</v>
      </c>
      <c r="B78" s="1">
        <v>2017</v>
      </c>
      <c r="C78" s="1">
        <v>106738501</v>
      </c>
      <c r="D78" s="1">
        <v>70.87</v>
      </c>
      <c r="E78" s="5">
        <f t="shared" ref="E78:E81" si="28">ROUND((0.7/1000)*C78,0)</f>
        <v>74717</v>
      </c>
      <c r="F78" s="11">
        <f t="shared" ref="F78:F79" si="29">ROUND((4.7/1000)*C78,0)</f>
        <v>501671</v>
      </c>
      <c r="G78" s="1">
        <f t="shared" si="26"/>
        <v>201736</v>
      </c>
      <c r="H78" s="1">
        <f t="shared" si="27"/>
        <v>778124</v>
      </c>
      <c r="I78" s="1">
        <f t="shared" si="21"/>
        <v>7.29</v>
      </c>
    </row>
    <row r="79" spans="1:9" ht="30" customHeight="1">
      <c r="A79" s="2" t="s">
        <v>24</v>
      </c>
      <c r="B79" s="1">
        <v>2018</v>
      </c>
      <c r="C79" s="1">
        <v>108568836</v>
      </c>
      <c r="D79" s="1">
        <v>71.03</v>
      </c>
      <c r="E79" s="5">
        <f t="shared" si="28"/>
        <v>75998</v>
      </c>
      <c r="F79" s="11">
        <f>ROUND((4.8/1000)*C79,0)</f>
        <v>521130</v>
      </c>
      <c r="G79" s="1">
        <f t="shared" si="26"/>
        <v>208995</v>
      </c>
      <c r="H79" s="1">
        <f t="shared" si="27"/>
        <v>806123</v>
      </c>
      <c r="I79" s="1">
        <f t="shared" si="21"/>
        <v>7.42</v>
      </c>
    </row>
    <row r="80" spans="1:9" ht="30" customHeight="1">
      <c r="A80" s="2" t="s">
        <v>24</v>
      </c>
      <c r="B80" s="1">
        <v>2019</v>
      </c>
      <c r="C80" s="1">
        <v>110380804</v>
      </c>
      <c r="D80" s="1">
        <v>71.16</v>
      </c>
      <c r="E80" s="5">
        <f t="shared" si="28"/>
        <v>77267</v>
      </c>
      <c r="F80" s="11">
        <f t="shared" ref="F80:F82" si="30">ROUND((4.8/1000)*C80,0)</f>
        <v>529828</v>
      </c>
      <c r="G80" s="1">
        <f t="shared" si="26"/>
        <v>212483</v>
      </c>
      <c r="H80" s="1">
        <f t="shared" si="27"/>
        <v>819578</v>
      </c>
      <c r="I80" s="1">
        <f t="shared" si="21"/>
        <v>7.43</v>
      </c>
    </row>
    <row r="81" spans="1:9" ht="30" customHeight="1">
      <c r="A81" s="9" t="s">
        <v>24</v>
      </c>
      <c r="B81" s="7">
        <v>2020</v>
      </c>
      <c r="C81" s="7">
        <v>112190977</v>
      </c>
      <c r="D81" s="7">
        <v>71.28</v>
      </c>
      <c r="E81" s="14">
        <f>ROUND((0.8/1000)*C81,0)</f>
        <v>89753</v>
      </c>
      <c r="F81" s="14">
        <f t="shared" si="30"/>
        <v>538517</v>
      </c>
      <c r="G81" s="14">
        <f t="shared" si="26"/>
        <v>219895</v>
      </c>
      <c r="H81" s="14">
        <f t="shared" si="27"/>
        <v>848165</v>
      </c>
      <c r="I81" s="14">
        <f t="shared" si="21"/>
        <v>7.56</v>
      </c>
    </row>
    <row r="82" spans="1:9" ht="30" customHeight="1">
      <c r="A82" s="3" t="s">
        <v>25</v>
      </c>
      <c r="B82" s="5">
        <v>2016</v>
      </c>
      <c r="C82" s="5">
        <v>628102</v>
      </c>
      <c r="D82" s="5">
        <v>72.23</v>
      </c>
      <c r="E82" s="5">
        <f>ROUND((0.2/1000)*C82,0)</f>
        <v>126</v>
      </c>
      <c r="F82" s="5">
        <f>ROUND((2.1/1000)*C82,0)</f>
        <v>1319</v>
      </c>
      <c r="G82" s="6">
        <f t="shared" si="26"/>
        <v>506</v>
      </c>
      <c r="H82" s="6">
        <f t="shared" si="27"/>
        <v>1951</v>
      </c>
      <c r="I82" s="6">
        <f t="shared" si="21"/>
        <v>3.11</v>
      </c>
    </row>
    <row r="83" spans="1:9" ht="30" customHeight="1">
      <c r="A83" s="2" t="s">
        <v>25</v>
      </c>
      <c r="B83" s="1">
        <v>2017</v>
      </c>
      <c r="C83" s="1">
        <v>643634</v>
      </c>
      <c r="D83" s="1">
        <v>72.5</v>
      </c>
      <c r="E83" s="5">
        <f t="shared" ref="E83:E87" si="31">ROUND((0.2/1000)*C83,0)</f>
        <v>129</v>
      </c>
      <c r="F83" s="11">
        <f t="shared" ref="F83:F87" si="32">ROUND((2.1/1000)*C83,0)</f>
        <v>1352</v>
      </c>
      <c r="G83" s="1">
        <f t="shared" si="26"/>
        <v>518</v>
      </c>
      <c r="H83" s="1">
        <f t="shared" si="27"/>
        <v>1999</v>
      </c>
      <c r="I83" s="1">
        <f t="shared" si="21"/>
        <v>3.11</v>
      </c>
    </row>
    <row r="84" spans="1:9" ht="30" customHeight="1">
      <c r="A84" s="2" t="s">
        <v>25</v>
      </c>
      <c r="B84" s="1">
        <v>2018</v>
      </c>
      <c r="C84" s="1">
        <v>659249</v>
      </c>
      <c r="D84" s="1">
        <v>72.77</v>
      </c>
      <c r="E84" s="5">
        <f t="shared" si="31"/>
        <v>132</v>
      </c>
      <c r="F84" s="11">
        <f t="shared" si="32"/>
        <v>1384</v>
      </c>
      <c r="G84" s="1">
        <f t="shared" si="26"/>
        <v>531</v>
      </c>
      <c r="H84" s="1">
        <f t="shared" si="27"/>
        <v>2047</v>
      </c>
      <c r="I84" s="1">
        <f t="shared" si="21"/>
        <v>3.11</v>
      </c>
    </row>
    <row r="85" spans="1:9" ht="30" customHeight="1">
      <c r="A85" s="2" t="s">
        <v>25</v>
      </c>
      <c r="B85" s="1">
        <v>2019</v>
      </c>
      <c r="C85" s="1">
        <v>674993</v>
      </c>
      <c r="D85" s="1">
        <v>72.89</v>
      </c>
      <c r="E85" s="5">
        <f t="shared" si="31"/>
        <v>135</v>
      </c>
      <c r="F85" s="11">
        <f t="shared" si="32"/>
        <v>1417</v>
      </c>
      <c r="G85" s="1">
        <f t="shared" si="26"/>
        <v>543</v>
      </c>
      <c r="H85" s="1">
        <f t="shared" si="27"/>
        <v>2095</v>
      </c>
      <c r="I85" s="1">
        <f t="shared" si="21"/>
        <v>3.1</v>
      </c>
    </row>
    <row r="86" spans="1:9" ht="30" customHeight="1">
      <c r="A86" s="9" t="s">
        <v>25</v>
      </c>
      <c r="B86" s="7">
        <v>2020</v>
      </c>
      <c r="C86" s="7">
        <v>691191</v>
      </c>
      <c r="D86" s="7">
        <v>73.010000000000005</v>
      </c>
      <c r="E86" s="14">
        <f t="shared" si="31"/>
        <v>138</v>
      </c>
      <c r="F86" s="14">
        <f t="shared" si="32"/>
        <v>1452</v>
      </c>
      <c r="G86" s="14">
        <f t="shared" si="26"/>
        <v>557</v>
      </c>
      <c r="H86" s="14">
        <f t="shared" si="27"/>
        <v>2147</v>
      </c>
      <c r="I86" s="14">
        <f t="shared" si="21"/>
        <v>3.11</v>
      </c>
    </row>
    <row r="87" spans="1:9" ht="30" customHeight="1">
      <c r="A87" s="3" t="s">
        <v>26</v>
      </c>
      <c r="B87" s="5">
        <v>2016</v>
      </c>
      <c r="C87" s="5">
        <v>23594471</v>
      </c>
      <c r="D87" s="5">
        <v>79.819999999999993</v>
      </c>
      <c r="E87" s="5">
        <f>ROUND((2.17/1000)*C87,0)</f>
        <v>51200</v>
      </c>
      <c r="F87" s="5">
        <f>ROUND((7.8/1000)*C87,0)</f>
        <v>184037</v>
      </c>
      <c r="G87" s="6">
        <f t="shared" si="26"/>
        <v>82333</v>
      </c>
      <c r="H87" s="6">
        <f t="shared" si="27"/>
        <v>317570</v>
      </c>
      <c r="I87" s="6">
        <f t="shared" si="21"/>
        <v>13.46</v>
      </c>
    </row>
    <row r="88" spans="1:9" ht="30" customHeight="1">
      <c r="A88" s="2" t="s">
        <v>26</v>
      </c>
      <c r="B88" s="1">
        <v>2017</v>
      </c>
      <c r="C88" s="1">
        <v>23665024</v>
      </c>
      <c r="D88" s="1">
        <v>80</v>
      </c>
      <c r="E88" s="5">
        <f t="shared" ref="E88:E93" si="33">ROUND((2.17/1000)*C88,0)</f>
        <v>51353</v>
      </c>
      <c r="F88" s="11">
        <f t="shared" ref="F88:F92" si="34">ROUND((7.8/1000)*C88,0)</f>
        <v>184587</v>
      </c>
      <c r="G88" s="1">
        <f t="shared" si="26"/>
        <v>82579</v>
      </c>
      <c r="H88" s="1">
        <f t="shared" si="27"/>
        <v>318519</v>
      </c>
      <c r="I88" s="1">
        <f t="shared" si="21"/>
        <v>13.46</v>
      </c>
    </row>
    <row r="89" spans="1:9" ht="30" customHeight="1">
      <c r="A89" s="2" t="s">
        <v>26</v>
      </c>
      <c r="B89" s="1">
        <v>2018</v>
      </c>
      <c r="C89" s="1">
        <v>23726185</v>
      </c>
      <c r="D89" s="1">
        <v>80.19</v>
      </c>
      <c r="E89" s="5">
        <f t="shared" si="33"/>
        <v>51486</v>
      </c>
      <c r="F89" s="11">
        <f t="shared" si="34"/>
        <v>185064</v>
      </c>
      <c r="G89" s="1">
        <f t="shared" si="26"/>
        <v>82793</v>
      </c>
      <c r="H89" s="1">
        <f t="shared" si="27"/>
        <v>319343</v>
      </c>
      <c r="I89" s="1">
        <f t="shared" si="21"/>
        <v>13.46</v>
      </c>
    </row>
    <row r="90" spans="1:9" ht="30" customHeight="1">
      <c r="A90" s="2" t="s">
        <v>26</v>
      </c>
      <c r="B90" s="1">
        <v>2019</v>
      </c>
      <c r="C90" s="1">
        <v>23777737</v>
      </c>
      <c r="D90" s="1">
        <v>80.36</v>
      </c>
      <c r="E90" s="5">
        <f t="shared" si="33"/>
        <v>51598</v>
      </c>
      <c r="F90" s="11">
        <f t="shared" si="34"/>
        <v>185466</v>
      </c>
      <c r="G90" s="1">
        <f t="shared" si="26"/>
        <v>82972</v>
      </c>
      <c r="H90" s="1">
        <f t="shared" si="27"/>
        <v>320036</v>
      </c>
      <c r="I90" s="1">
        <f t="shared" si="21"/>
        <v>13.46</v>
      </c>
    </row>
    <row r="91" spans="1:9" ht="30" customHeight="1">
      <c r="A91" s="9" t="s">
        <v>26</v>
      </c>
      <c r="B91" s="7">
        <v>2020</v>
      </c>
      <c r="C91" s="7">
        <v>23821464</v>
      </c>
      <c r="D91" s="7">
        <v>80.53</v>
      </c>
      <c r="E91" s="14">
        <f t="shared" si="33"/>
        <v>51693</v>
      </c>
      <c r="F91" s="14">
        <f t="shared" si="34"/>
        <v>185807</v>
      </c>
      <c r="G91" s="14">
        <f t="shared" si="26"/>
        <v>83125</v>
      </c>
      <c r="H91" s="14">
        <f t="shared" si="27"/>
        <v>320625</v>
      </c>
      <c r="I91" s="14">
        <f t="shared" si="21"/>
        <v>13.46</v>
      </c>
    </row>
    <row r="92" spans="1:9" ht="30" customHeight="1">
      <c r="A92" s="3" t="s">
        <v>27</v>
      </c>
      <c r="B92" s="5">
        <v>2016</v>
      </c>
      <c r="C92" s="5">
        <v>70607037</v>
      </c>
      <c r="D92" s="5">
        <v>76.17</v>
      </c>
      <c r="E92" s="5">
        <f>ROUND((0.4/1000)*C92,0)</f>
        <v>28243</v>
      </c>
      <c r="F92" s="5">
        <f>ROUND((2.7/1000)*C92,0)</f>
        <v>190639</v>
      </c>
      <c r="G92" s="6">
        <f t="shared" si="26"/>
        <v>76609</v>
      </c>
      <c r="H92" s="6">
        <f t="shared" si="27"/>
        <v>295491</v>
      </c>
      <c r="I92" s="6">
        <f t="shared" si="21"/>
        <v>4.1900000000000004</v>
      </c>
    </row>
    <row r="93" spans="1:9" ht="30" customHeight="1">
      <c r="A93" s="2" t="s">
        <v>27</v>
      </c>
      <c r="B93" s="1">
        <v>2017</v>
      </c>
      <c r="C93" s="1">
        <v>70898202</v>
      </c>
      <c r="D93" s="1">
        <v>76.5</v>
      </c>
      <c r="E93" s="5">
        <f>ROUND((0.8/1000)*C93,0)</f>
        <v>56719</v>
      </c>
      <c r="F93" s="11">
        <f>ROUND((2.9/1000)*C93,0)</f>
        <v>205605</v>
      </c>
      <c r="G93" s="1">
        <f t="shared" si="26"/>
        <v>91813</v>
      </c>
      <c r="H93" s="1">
        <f t="shared" si="27"/>
        <v>354137</v>
      </c>
      <c r="I93" s="1">
        <f t="shared" si="21"/>
        <v>5</v>
      </c>
    </row>
    <row r="94" spans="1:9" ht="30" customHeight="1">
      <c r="A94" s="2" t="s">
        <v>27</v>
      </c>
      <c r="B94" s="1">
        <v>2018</v>
      </c>
      <c r="C94" s="1">
        <v>71127802</v>
      </c>
      <c r="D94" s="1">
        <v>76.83</v>
      </c>
      <c r="E94" s="5">
        <f t="shared" ref="E94:E95" si="35">ROUND((0.8/1000)*C94,0)</f>
        <v>56902</v>
      </c>
      <c r="F94" s="11">
        <f t="shared" ref="F93:F95" si="36">ROUND((2.7/1000)*C94,0)</f>
        <v>192045</v>
      </c>
      <c r="G94" s="1">
        <f t="shared" si="26"/>
        <v>87131</v>
      </c>
      <c r="H94" s="1">
        <f t="shared" si="27"/>
        <v>336078</v>
      </c>
      <c r="I94" s="1">
        <f t="shared" si="21"/>
        <v>4.72</v>
      </c>
    </row>
    <row r="95" spans="1:9" ht="30" customHeight="1">
      <c r="A95" s="2" t="s">
        <v>27</v>
      </c>
      <c r="B95" s="1">
        <v>2019</v>
      </c>
      <c r="C95" s="1">
        <v>71307763</v>
      </c>
      <c r="D95" s="1">
        <v>77.010000000000005</v>
      </c>
      <c r="E95" s="5">
        <f>ROUND((0.9/1000)*C95,0)</f>
        <v>64177</v>
      </c>
      <c r="F95" s="11">
        <f>ROUND((3.1/1000)*C95,0)</f>
        <v>221054</v>
      </c>
      <c r="G95" s="1">
        <f t="shared" si="26"/>
        <v>99831</v>
      </c>
      <c r="H95" s="1">
        <f t="shared" si="27"/>
        <v>385062</v>
      </c>
      <c r="I95" s="1">
        <f t="shared" si="21"/>
        <v>5.4</v>
      </c>
    </row>
    <row r="96" spans="1:9" ht="30" customHeight="1">
      <c r="A96" s="9" t="s">
        <v>27</v>
      </c>
      <c r="B96" s="7">
        <v>2020</v>
      </c>
      <c r="C96" s="7">
        <v>71475664</v>
      </c>
      <c r="D96" s="7">
        <v>77.19</v>
      </c>
      <c r="E96" s="14">
        <f>ROUND((0.9/1000)*C96,0)</f>
        <v>64328</v>
      </c>
      <c r="F96" s="14">
        <f>ROUND((3.1/1000)*C96,0)</f>
        <v>221575</v>
      </c>
      <c r="G96" s="14">
        <f t="shared" si="26"/>
        <v>100066</v>
      </c>
      <c r="H96" s="14">
        <f t="shared" si="27"/>
        <v>385969</v>
      </c>
      <c r="I96" s="14">
        <f t="shared" si="21"/>
        <v>5.4</v>
      </c>
    </row>
    <row r="97" spans="1:9" ht="30" customHeight="1">
      <c r="A97" s="27" t="s">
        <v>28</v>
      </c>
      <c r="B97" s="5">
        <v>2016</v>
      </c>
      <c r="C97" s="12">
        <v>283218</v>
      </c>
      <c r="D97" s="12">
        <v>69.95</v>
      </c>
      <c r="E97" s="5">
        <f>ROUND((0.2/1000)*C97,0)</f>
        <v>57</v>
      </c>
      <c r="F97" s="5">
        <f>ROUND((1.4/1000)*C97,0)</f>
        <v>397</v>
      </c>
      <c r="G97" s="6">
        <f t="shared" si="26"/>
        <v>159</v>
      </c>
      <c r="H97" s="6">
        <f t="shared" si="27"/>
        <v>613</v>
      </c>
      <c r="I97" s="6">
        <f t="shared" si="21"/>
        <v>2.16</v>
      </c>
    </row>
    <row r="98" spans="1:9" ht="30" customHeight="1">
      <c r="A98" s="2" t="s">
        <v>28</v>
      </c>
      <c r="B98" s="1">
        <v>2017</v>
      </c>
      <c r="C98" s="1">
        <v>290239</v>
      </c>
      <c r="D98" s="1">
        <v>70.099999999999994</v>
      </c>
      <c r="E98" s="5">
        <f t="shared" ref="E98:E102" si="37">ROUND((0.2/1000)*C98,0)</f>
        <v>58</v>
      </c>
      <c r="F98" s="11">
        <f t="shared" ref="F98:F102" si="38">ROUND((1.4/1000)*C98,0)</f>
        <v>406</v>
      </c>
      <c r="G98" s="1">
        <f t="shared" si="26"/>
        <v>162</v>
      </c>
      <c r="H98" s="1">
        <f t="shared" si="27"/>
        <v>626</v>
      </c>
      <c r="I98" s="1">
        <f t="shared" si="21"/>
        <v>2.16</v>
      </c>
    </row>
    <row r="99" spans="1:9" ht="30" customHeight="1">
      <c r="A99" s="2" t="s">
        <v>28</v>
      </c>
      <c r="B99" s="1">
        <v>2018</v>
      </c>
      <c r="C99" s="1">
        <v>297298</v>
      </c>
      <c r="D99" s="1">
        <v>70.25</v>
      </c>
      <c r="E99" s="5">
        <f t="shared" si="37"/>
        <v>59</v>
      </c>
      <c r="F99" s="11">
        <f t="shared" si="38"/>
        <v>416</v>
      </c>
      <c r="G99" s="1">
        <f t="shared" si="26"/>
        <v>166</v>
      </c>
      <c r="H99" s="1">
        <f t="shared" si="27"/>
        <v>641</v>
      </c>
      <c r="I99" s="1">
        <f t="shared" si="21"/>
        <v>2.16</v>
      </c>
    </row>
    <row r="100" spans="1:9" ht="30" customHeight="1">
      <c r="A100" s="2" t="s">
        <v>28</v>
      </c>
      <c r="B100" s="1">
        <v>2019</v>
      </c>
      <c r="C100" s="1">
        <v>304404</v>
      </c>
      <c r="D100" s="1">
        <v>70.400000000000006</v>
      </c>
      <c r="E100" s="5">
        <f t="shared" si="37"/>
        <v>61</v>
      </c>
      <c r="F100" s="11">
        <f t="shared" si="38"/>
        <v>426</v>
      </c>
      <c r="G100" s="1">
        <f t="shared" si="26"/>
        <v>170</v>
      </c>
      <c r="H100" s="1">
        <f t="shared" si="27"/>
        <v>657</v>
      </c>
      <c r="I100" s="1">
        <f t="shared" si="21"/>
        <v>2.16</v>
      </c>
    </row>
    <row r="101" spans="1:9" ht="30" customHeight="1">
      <c r="A101" s="9" t="s">
        <v>28</v>
      </c>
      <c r="B101" s="7">
        <v>2020</v>
      </c>
      <c r="C101" s="7">
        <v>311685</v>
      </c>
      <c r="D101" s="7">
        <v>70.55</v>
      </c>
      <c r="E101" s="14">
        <f t="shared" si="37"/>
        <v>62</v>
      </c>
      <c r="F101" s="14">
        <f t="shared" si="38"/>
        <v>436</v>
      </c>
      <c r="G101" s="14">
        <f t="shared" si="26"/>
        <v>174</v>
      </c>
      <c r="H101" s="14">
        <f t="shared" si="27"/>
        <v>672</v>
      </c>
      <c r="I101" s="14">
        <f t="shared" si="21"/>
        <v>2.16</v>
      </c>
    </row>
    <row r="102" spans="1:9" ht="30" customHeight="1">
      <c r="A102" s="3" t="s">
        <v>29</v>
      </c>
      <c r="B102" s="5">
        <v>2016</v>
      </c>
      <c r="C102" s="5">
        <v>93126529</v>
      </c>
      <c r="D102" s="5">
        <v>75.150000000000006</v>
      </c>
      <c r="E102" s="5">
        <f>ROUND((0.8/1000)*C102,0)</f>
        <v>74501</v>
      </c>
      <c r="F102" s="5">
        <f>ROUND((1.5/1000)*C102,0)</f>
        <v>139690</v>
      </c>
      <c r="G102" s="6">
        <f t="shared" si="26"/>
        <v>74967</v>
      </c>
      <c r="H102" s="6">
        <f t="shared" si="27"/>
        <v>289158</v>
      </c>
      <c r="I102" s="6">
        <f t="shared" si="21"/>
        <v>3.11</v>
      </c>
    </row>
    <row r="103" spans="1:9" ht="30" customHeight="1">
      <c r="A103" s="2" t="s">
        <v>29</v>
      </c>
      <c r="B103" s="1">
        <v>2017</v>
      </c>
      <c r="C103" s="1">
        <v>94033048</v>
      </c>
      <c r="D103" s="1">
        <v>75.209999999999994</v>
      </c>
      <c r="E103" s="5">
        <f t="shared" ref="E103:E106" si="39">ROUND((0.8/1000)*C103,0)</f>
        <v>75226</v>
      </c>
      <c r="F103" s="11">
        <f t="shared" ref="F103:F106" si="40">ROUND((1.5/1000)*C103,0)</f>
        <v>141050</v>
      </c>
      <c r="G103" s="1">
        <f t="shared" si="26"/>
        <v>75697</v>
      </c>
      <c r="H103" s="1">
        <f t="shared" si="27"/>
        <v>291973</v>
      </c>
      <c r="I103" s="1">
        <f t="shared" si="21"/>
        <v>3.11</v>
      </c>
    </row>
    <row r="104" spans="1:9" ht="30" customHeight="1">
      <c r="A104" s="2" t="s">
        <v>29</v>
      </c>
      <c r="B104" s="1">
        <v>2018</v>
      </c>
      <c r="C104" s="1">
        <v>94914330</v>
      </c>
      <c r="D104" s="1">
        <v>75.27</v>
      </c>
      <c r="E104" s="5">
        <f t="shared" si="39"/>
        <v>75931</v>
      </c>
      <c r="F104" s="11">
        <f t="shared" si="40"/>
        <v>142371</v>
      </c>
      <c r="G104" s="1">
        <f t="shared" si="26"/>
        <v>76406</v>
      </c>
      <c r="H104" s="1">
        <f t="shared" si="27"/>
        <v>294708</v>
      </c>
      <c r="I104" s="1">
        <f>ROUND((H104/C104)*1000,2)</f>
        <v>3.1</v>
      </c>
    </row>
    <row r="105" spans="1:9" ht="30" customHeight="1">
      <c r="A105" s="8" t="s">
        <v>29</v>
      </c>
      <c r="B105" s="1">
        <v>2019</v>
      </c>
      <c r="C105" s="6">
        <v>95776716</v>
      </c>
      <c r="D105" s="6">
        <v>75.37</v>
      </c>
      <c r="E105" s="5">
        <f t="shared" si="39"/>
        <v>76621</v>
      </c>
      <c r="F105" s="11">
        <f t="shared" si="40"/>
        <v>143665</v>
      </c>
      <c r="G105" s="1">
        <f t="shared" si="26"/>
        <v>77100</v>
      </c>
      <c r="H105" s="1">
        <f t="shared" si="27"/>
        <v>297386</v>
      </c>
      <c r="I105" s="1">
        <f t="shared" si="21"/>
        <v>3.1</v>
      </c>
    </row>
    <row r="106" spans="1:9" ht="30" customHeight="1">
      <c r="A106" s="9" t="s">
        <v>29</v>
      </c>
      <c r="B106" s="7">
        <v>2020</v>
      </c>
      <c r="C106" s="7">
        <v>96648685</v>
      </c>
      <c r="D106" s="7">
        <v>75.47</v>
      </c>
      <c r="E106" s="14">
        <f t="shared" si="39"/>
        <v>77319</v>
      </c>
      <c r="F106" s="14">
        <f t="shared" si="40"/>
        <v>144973</v>
      </c>
      <c r="G106" s="14">
        <f t="shared" si="26"/>
        <v>77802</v>
      </c>
      <c r="H106" s="14">
        <f t="shared" si="27"/>
        <v>300094</v>
      </c>
      <c r="I106" s="14">
        <f t="shared" si="21"/>
        <v>3.1</v>
      </c>
    </row>
    <row r="107" spans="1:9" ht="30" customHeight="1"/>
    <row r="111" spans="1:9">
      <c r="E11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2024-06-04T11:47:57Z</dcterms:created>
  <dcterms:modified xsi:type="dcterms:W3CDTF">2024-06-05T11:10:01Z</dcterms:modified>
  <cp:category/>
  <cp:contentStatus/>
</cp:coreProperties>
</file>